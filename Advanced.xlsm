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renadier.local\data\Users$\esmith\Desktop\Continuing Education\Excel\Excel @ Work\"/>
    </mc:Choice>
  </mc:AlternateContent>
  <bookViews>
    <workbookView xWindow="0" yWindow="0" windowWidth="23040" windowHeight="9384" tabRatio="682"/>
  </bookViews>
  <sheets>
    <sheet name="Advanced-Table of Contents" sheetId="1" r:id="rId1"/>
    <sheet name="Customizing Excel" sheetId="21" r:id="rId2"/>
    <sheet name="Apps, Add-Ins, &amp; Templates" sheetId="20" r:id="rId3"/>
    <sheet name="Text Boxes, Shapes, &amp; Pictures" sheetId="19" r:id="rId4"/>
    <sheet name="Alignment &amp; Sizing" sheetId="18" r:id="rId5"/>
    <sheet name="Hyperlinks" sheetId="17" r:id="rId6"/>
    <sheet name="Camera Tool" sheetId="16" r:id="rId7"/>
    <sheet name="GoTo Special" sheetId="15" r:id="rId8"/>
    <sheet name="Goal Seek" sheetId="14" r:id="rId9"/>
    <sheet name="Text to Columns" sheetId="13" r:id="rId10"/>
    <sheet name="Remove Duplicates" sheetId="12" r:id="rId11"/>
    <sheet name="Data Validation" sheetId="11" r:id="rId12"/>
    <sheet name="Subtotals in your dataset" sheetId="10" r:id="rId13"/>
    <sheet name="Using Defined Names wisely" sheetId="8" r:id="rId14"/>
    <sheet name="Sparklines" sheetId="9" r:id="rId15"/>
    <sheet name="Charting" sheetId="7" r:id="rId16"/>
    <sheet name="Sharing Workbooks" sheetId="6" r:id="rId17"/>
    <sheet name="Record &amp; use a Macro" sheetId="5" r:id="rId18"/>
    <sheet name="The Developer Tab" sheetId="4" r:id="rId19"/>
    <sheet name="Interactive Data &amp; Charting" sheetId="3" r:id="rId20"/>
    <sheet name="Intro to VBA" sheetId="2" r:id="rId21"/>
  </sheets>
  <definedNames>
    <definedName name="_xlnm._FilterDatabase" localSheetId="7" hidden="1">'GoTo Special'!$A$2:$I$2</definedName>
    <definedName name="_xlnm._FilterDatabase" localSheetId="14" hidden="1">Sparklines!$A$2:$H$2</definedName>
    <definedName name="_xlnm._FilterDatabase" localSheetId="12" hidden="1">'Subtotals in your dataset'!$A$2:$I$2</definedName>
    <definedName name="MovieGrossDifference">'Using Defined Names wisely'!XFD1-'Using Defined Names wisely'!XFA1</definedName>
    <definedName name="TotalGross">OFFSET('Using Defined Names wisely'!$I$3,,,COUNT('Using Defined Names wisely'!XET:XET),1)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0" i="3" l="1"/>
  <c r="O11" i="3"/>
  <c r="O12" i="3"/>
  <c r="O13" i="3"/>
  <c r="O14" i="3"/>
  <c r="O15" i="3"/>
  <c r="O16" i="3"/>
  <c r="O17" i="3"/>
  <c r="O18" i="3"/>
  <c r="Q9" i="3"/>
  <c r="R9" i="3"/>
  <c r="S9" i="3"/>
  <c r="T9" i="3"/>
  <c r="U9" i="3"/>
  <c r="V9" i="3"/>
  <c r="W9" i="3"/>
  <c r="Q10" i="3"/>
  <c r="R10" i="3"/>
  <c r="S10" i="3"/>
  <c r="T10" i="3"/>
  <c r="U10" i="3"/>
  <c r="V10" i="3"/>
  <c r="W10" i="3"/>
  <c r="Q11" i="3"/>
  <c r="R11" i="3"/>
  <c r="S11" i="3"/>
  <c r="T11" i="3"/>
  <c r="U11" i="3"/>
  <c r="V11" i="3"/>
  <c r="W11" i="3"/>
  <c r="Q12" i="3"/>
  <c r="R12" i="3"/>
  <c r="S12" i="3"/>
  <c r="T12" i="3"/>
  <c r="U12" i="3"/>
  <c r="V12" i="3"/>
  <c r="W12" i="3"/>
  <c r="Q13" i="3"/>
  <c r="R13" i="3"/>
  <c r="S13" i="3"/>
  <c r="T13" i="3"/>
  <c r="U13" i="3"/>
  <c r="V13" i="3"/>
  <c r="W13" i="3"/>
  <c r="Q14" i="3"/>
  <c r="R14" i="3"/>
  <c r="S14" i="3"/>
  <c r="T14" i="3"/>
  <c r="U14" i="3"/>
  <c r="V14" i="3"/>
  <c r="W14" i="3"/>
  <c r="Q15" i="3"/>
  <c r="R15" i="3"/>
  <c r="S15" i="3"/>
  <c r="T15" i="3"/>
  <c r="U15" i="3"/>
  <c r="V15" i="3"/>
  <c r="W15" i="3"/>
  <c r="Q16" i="3"/>
  <c r="R16" i="3"/>
  <c r="S16" i="3"/>
  <c r="T16" i="3"/>
  <c r="U16" i="3"/>
  <c r="V16" i="3"/>
  <c r="W16" i="3"/>
  <c r="Q17" i="3"/>
  <c r="R17" i="3"/>
  <c r="S17" i="3"/>
  <c r="T17" i="3"/>
  <c r="U17" i="3"/>
  <c r="V17" i="3"/>
  <c r="W17" i="3"/>
  <c r="Q18" i="3"/>
  <c r="R18" i="3"/>
  <c r="S18" i="3"/>
  <c r="T18" i="3"/>
  <c r="U18" i="3"/>
  <c r="V18" i="3"/>
  <c r="W18" i="3"/>
  <c r="P18" i="3"/>
  <c r="P17" i="3"/>
  <c r="P16" i="3"/>
  <c r="P15" i="3"/>
  <c r="P14" i="3"/>
  <c r="P13" i="3"/>
  <c r="P12" i="3"/>
  <c r="P11" i="3"/>
  <c r="P10" i="3"/>
  <c r="P9" i="3"/>
  <c r="O9" i="3"/>
  <c r="AH16" i="4"/>
  <c r="O7" i="3" l="1"/>
  <c r="L10" i="8" l="1"/>
  <c r="L8" i="8"/>
  <c r="L9" i="8"/>
  <c r="F20" i="10"/>
  <c r="I122" i="10"/>
  <c r="F122" i="10"/>
  <c r="I117" i="10"/>
  <c r="F117" i="10"/>
  <c r="I115" i="10"/>
  <c r="F115" i="10"/>
  <c r="I101" i="10"/>
  <c r="F101" i="10"/>
  <c r="I99" i="10"/>
  <c r="F99" i="10"/>
  <c r="I83" i="10"/>
  <c r="F83" i="10"/>
  <c r="I78" i="10"/>
  <c r="F78" i="10"/>
  <c r="I76" i="10"/>
  <c r="F76" i="10"/>
  <c r="I67" i="10"/>
  <c r="F67" i="10"/>
  <c r="I64" i="10"/>
  <c r="F64" i="10"/>
  <c r="I59" i="10"/>
  <c r="F59" i="10"/>
  <c r="I50" i="10"/>
  <c r="F50" i="10"/>
  <c r="I46" i="10"/>
  <c r="F46" i="10"/>
  <c r="I40" i="10"/>
  <c r="F40" i="10"/>
  <c r="I33" i="10"/>
  <c r="F33" i="10"/>
  <c r="I31" i="10"/>
  <c r="F31" i="10"/>
  <c r="I20" i="10"/>
  <c r="I17" i="10"/>
  <c r="F17" i="10"/>
  <c r="I14" i="10"/>
  <c r="F14" i="10"/>
  <c r="I12" i="10"/>
  <c r="F12" i="10"/>
  <c r="F123" i="10" l="1"/>
  <c r="I123" i="10"/>
  <c r="F3" i="14"/>
  <c r="I3" i="14" s="1"/>
</calcChain>
</file>

<file path=xl/comments1.xml><?xml version="1.0" encoding="utf-8"?>
<comments xmlns="http://schemas.openxmlformats.org/spreadsheetml/2006/main">
  <authors>
    <author>Eric Smith</author>
  </authors>
  <commentList>
    <comment ref="A3" authorId="0" shapeId="0">
      <text>
        <r>
          <rPr>
            <b/>
            <sz val="9"/>
            <color indexed="81"/>
            <rFont val="Tahoma"/>
            <family val="2"/>
          </rPr>
          <t>Eric Smith:</t>
        </r>
        <r>
          <rPr>
            <sz val="9"/>
            <color indexed="81"/>
            <rFont val="Tahoma"/>
            <family val="2"/>
          </rPr>
          <t xml:space="preserve">
</t>
        </r>
      </text>
    </comment>
    <comment ref="A9" authorId="0" shapeId="0">
      <text>
        <r>
          <rPr>
            <b/>
            <sz val="9"/>
            <color indexed="81"/>
            <rFont val="Tahoma"/>
            <family val="2"/>
          </rPr>
          <t>Eric Smith:</t>
        </r>
        <r>
          <rPr>
            <sz val="9"/>
            <color indexed="81"/>
            <rFont val="Tahoma"/>
            <family val="2"/>
          </rPr>
          <t xml:space="preserve">
</t>
        </r>
      </text>
    </comment>
    <comment ref="A15" authorId="0" shapeId="0">
      <text>
        <r>
          <rPr>
            <b/>
            <sz val="9"/>
            <color indexed="81"/>
            <rFont val="Tahoma"/>
            <family val="2"/>
          </rPr>
          <t>Eric Smith:</t>
        </r>
        <r>
          <rPr>
            <sz val="9"/>
            <color indexed="81"/>
            <rFont val="Tahoma"/>
            <family val="2"/>
          </rPr>
          <t xml:space="preserve">
</t>
        </r>
      </text>
    </comment>
    <comment ref="A20" authorId="0" shapeId="0">
      <text>
        <r>
          <rPr>
            <b/>
            <sz val="9"/>
            <color indexed="81"/>
            <rFont val="Tahoma"/>
            <family val="2"/>
          </rPr>
          <t>Eric Smith:</t>
        </r>
        <r>
          <rPr>
            <sz val="9"/>
            <color indexed="81"/>
            <rFont val="Tahoma"/>
            <family val="2"/>
          </rPr>
          <t xml:space="preserve">
</t>
        </r>
      </text>
    </comment>
    <comment ref="A21" authorId="0" shapeId="0">
      <text>
        <r>
          <rPr>
            <b/>
            <sz val="9"/>
            <color indexed="81"/>
            <rFont val="Tahoma"/>
            <family val="2"/>
          </rPr>
          <t>Eric Smith:</t>
        </r>
        <r>
          <rPr>
            <sz val="9"/>
            <color indexed="81"/>
            <rFont val="Tahoma"/>
            <family val="2"/>
          </rPr>
          <t xml:space="preserve">
</t>
        </r>
      </text>
    </comment>
  </commentList>
</comments>
</file>

<file path=xl/sharedStrings.xml><?xml version="1.0" encoding="utf-8"?>
<sst xmlns="http://schemas.openxmlformats.org/spreadsheetml/2006/main" count="4215" uniqueCount="520">
  <si>
    <t>Text to Columns</t>
  </si>
  <si>
    <t>GoTo Special</t>
  </si>
  <si>
    <t>Hyperlinks</t>
  </si>
  <si>
    <t>Top 100 Grossing Movies of 2013</t>
  </si>
  <si>
    <t>Rank</t>
  </si>
  <si>
    <t>Movie Title</t>
  </si>
  <si>
    <t>Studio</t>
  </si>
  <si>
    <t>Opening Date</t>
  </si>
  <si>
    <t>Opening Theaters</t>
  </si>
  <si>
    <t>Opening Gross</t>
  </si>
  <si>
    <t>Closing Date</t>
  </si>
  <si>
    <t>Closing Theaters</t>
  </si>
  <si>
    <t>Total Gross</t>
  </si>
  <si>
    <t>The Hunger Games: Catching Fire</t>
  </si>
  <si>
    <t>LGF</t>
  </si>
  <si>
    <t>Iron Man 3</t>
  </si>
  <si>
    <t>BV</t>
  </si>
  <si>
    <t>Frozen</t>
  </si>
  <si>
    <t>Despicable Me 2</t>
  </si>
  <si>
    <t>Uni.</t>
  </si>
  <si>
    <t>Man of Steel</t>
  </si>
  <si>
    <t>WB</t>
  </si>
  <si>
    <t>Gravity</t>
  </si>
  <si>
    <t>Monsters University</t>
  </si>
  <si>
    <t>The Hobbit: The Desolation of Smaug</t>
  </si>
  <si>
    <t>Fast &amp; Furious 6</t>
  </si>
  <si>
    <t>Oz The Great and Powerful</t>
  </si>
  <si>
    <t>Star Trek Into Darkness</t>
  </si>
  <si>
    <t>Par.</t>
  </si>
  <si>
    <t>Thor: The Dark World</t>
  </si>
  <si>
    <t>World War Z</t>
  </si>
  <si>
    <t>The Croods</t>
  </si>
  <si>
    <t>Fox</t>
  </si>
  <si>
    <t>The Heat</t>
  </si>
  <si>
    <t>We're the Millers</t>
  </si>
  <si>
    <t>American Hustle</t>
  </si>
  <si>
    <t>Sony</t>
  </si>
  <si>
    <t>The Great Gatsby (2013)</t>
  </si>
  <si>
    <t>The Conjuring</t>
  </si>
  <si>
    <t>Identity Thief</t>
  </si>
  <si>
    <t>Grown Ups 2</t>
  </si>
  <si>
    <t>The Wolverine</t>
  </si>
  <si>
    <t>Anchorman 2: The Legend Continues</t>
  </si>
  <si>
    <t>Lone Survivor</t>
  </si>
  <si>
    <t>G.I. Joe: Retaliation</t>
  </si>
  <si>
    <t>Cloudy with a Chance of Meatballs 2</t>
  </si>
  <si>
    <t>Now You See Me</t>
  </si>
  <si>
    <t>LG/S</t>
  </si>
  <si>
    <t>The Wolf of Wall Street</t>
  </si>
  <si>
    <t>Lee Daniels' The Butler</t>
  </si>
  <si>
    <t>Wein.</t>
  </si>
  <si>
    <t>The Hangover Part III</t>
  </si>
  <si>
    <t>Epic</t>
  </si>
  <si>
    <t>Captain Phillips</t>
  </si>
  <si>
    <t>Jackass Presents: Bad Grandpa</t>
  </si>
  <si>
    <t>Pacific Rim</t>
  </si>
  <si>
    <t>This is the End</t>
  </si>
  <si>
    <t>Olympus Has Fallen</t>
  </si>
  <si>
    <t>FD</t>
  </si>
  <si>
    <t>Elysium</t>
  </si>
  <si>
    <t>TriS</t>
  </si>
  <si>
    <t>Planes</t>
  </si>
  <si>
    <t>The Lone Ranger</t>
  </si>
  <si>
    <t>Oblivion</t>
  </si>
  <si>
    <t>Insidious Chapter 2</t>
  </si>
  <si>
    <t>Saving Mr. Banks</t>
  </si>
  <si>
    <t>Turbo</t>
  </si>
  <si>
    <t>2 Guns</t>
  </si>
  <si>
    <t>White House Down</t>
  </si>
  <si>
    <t>Mama</t>
  </si>
  <si>
    <t>Safe Haven</t>
  </si>
  <si>
    <t>Rela.</t>
  </si>
  <si>
    <t>The Smurfs 2</t>
  </si>
  <si>
    <t>The Best Man Holiday</t>
  </si>
  <si>
    <t>Percy Jackson: Sea of Monsters</t>
  </si>
  <si>
    <t>A Good Day to Die Hard</t>
  </si>
  <si>
    <t>Warm Bodies</t>
  </si>
  <si>
    <t>Jack the Giant Slayer</t>
  </si>
  <si>
    <t>WB (NL)</t>
  </si>
  <si>
    <t>The Purge</t>
  </si>
  <si>
    <t>Last Vegas</t>
  </si>
  <si>
    <t>CBS</t>
  </si>
  <si>
    <t>Ender's Game</t>
  </si>
  <si>
    <t>Prisoners</t>
  </si>
  <si>
    <t>After Earth</t>
  </si>
  <si>
    <t>The Secret Life of Walter Mitty</t>
  </si>
  <si>
    <t>Escape From Planet Earth</t>
  </si>
  <si>
    <t>12 Years a Slave</t>
  </si>
  <si>
    <t>FoxS</t>
  </si>
  <si>
    <t>Free Birds</t>
  </si>
  <si>
    <t>Hansel and Gretel: Witch Hunters</t>
  </si>
  <si>
    <t>Evil Dead (2013)</t>
  </si>
  <si>
    <t>Red 2</t>
  </si>
  <si>
    <t>Tyler Perry's A Madea Christmas</t>
  </si>
  <si>
    <t>Tyler Perry's Temptation: Confessions of a Marriage Counselor</t>
  </si>
  <si>
    <t>The Call</t>
  </si>
  <si>
    <t>Pain and Gain</t>
  </si>
  <si>
    <t>Gangster Squad</t>
  </si>
  <si>
    <t>Jurassic Park 3D</t>
  </si>
  <si>
    <t>The Internship</t>
  </si>
  <si>
    <t>Instructions Not Included</t>
  </si>
  <si>
    <t>Snitch</t>
  </si>
  <si>
    <t>Riddick</t>
  </si>
  <si>
    <t>A Haunted House</t>
  </si>
  <si>
    <t>ORF</t>
  </si>
  <si>
    <t>47 Ronin</t>
  </si>
  <si>
    <t>August: Osage County</t>
  </si>
  <si>
    <t>Philomena</t>
  </si>
  <si>
    <t>The Family (2013)</t>
  </si>
  <si>
    <t>Walking with Dinosaurs</t>
  </si>
  <si>
    <t>Carrie (2013)</t>
  </si>
  <si>
    <t>SGem</t>
  </si>
  <si>
    <t>Texas Chainsaw 3D</t>
  </si>
  <si>
    <t>R.I.P.D.</t>
  </si>
  <si>
    <t>Blue Jasmine</t>
  </si>
  <si>
    <t>SPC</t>
  </si>
  <si>
    <t>Kevin Hart: Let Me Explain</t>
  </si>
  <si>
    <t>Side Effects (2013)</t>
  </si>
  <si>
    <t>Scary Movie 5</t>
  </si>
  <si>
    <t>W/Dim.</t>
  </si>
  <si>
    <t>The Mortal Instruments: City of Bones</t>
  </si>
  <si>
    <t>Delivery Man</t>
  </si>
  <si>
    <t>Grudge Match</t>
  </si>
  <si>
    <t>One Direction: This is Us</t>
  </si>
  <si>
    <t>Kick-A** 2</t>
  </si>
  <si>
    <t>Dallas Buyers Club</t>
  </si>
  <si>
    <t>Focus</t>
  </si>
  <si>
    <t>Rush (2013)</t>
  </si>
  <si>
    <t>The Host (2013)</t>
  </si>
  <si>
    <t>The World's End</t>
  </si>
  <si>
    <t>21 and Over</t>
  </si>
  <si>
    <t>Her (2013)</t>
  </si>
  <si>
    <t>Advanced - Table of Contents</t>
  </si>
  <si>
    <t>Remove Duplicates</t>
  </si>
  <si>
    <t>Subtotals in your dataset</t>
  </si>
  <si>
    <t>Charting</t>
  </si>
  <si>
    <t>Camera Tool</t>
  </si>
  <si>
    <t>The Developer Tab</t>
  </si>
  <si>
    <t>Interactive Data &amp; Charting</t>
  </si>
  <si>
    <t>Intro to VBA</t>
  </si>
  <si>
    <t>Sparklines</t>
  </si>
  <si>
    <t>Data Validation</t>
  </si>
  <si>
    <t>Using Defined Names wisely</t>
  </si>
  <si>
    <t>Sharing Workbooks</t>
  </si>
  <si>
    <t>Goal Seek</t>
  </si>
  <si>
    <t>Customizing Excel</t>
  </si>
  <si>
    <t>Alignment &amp; Sizing</t>
  </si>
  <si>
    <t>Customizing the Quick Access Toolbar</t>
  </si>
  <si>
    <t>Customizing the Ribbon</t>
  </si>
  <si>
    <t>Tabs</t>
  </si>
  <si>
    <t>Groups</t>
  </si>
  <si>
    <t>Command Buttons</t>
  </si>
  <si>
    <t>File/Options</t>
  </si>
  <si>
    <t>What an Add-in is</t>
  </si>
  <si>
    <t>What an App is</t>
  </si>
  <si>
    <t>How to turn on/off an Add-in</t>
  </si>
  <si>
    <t>Where to get them &amp; which to trust</t>
  </si>
  <si>
    <t>Apps, Add-Ins, &amp; Templates</t>
  </si>
  <si>
    <t>Power Query</t>
  </si>
  <si>
    <t>AbleBits</t>
  </si>
  <si>
    <t>What a Template is</t>
  </si>
  <si>
    <t>A few I like:</t>
  </si>
  <si>
    <t>Any Microsoft Template</t>
  </si>
  <si>
    <t>Insert Tab</t>
  </si>
  <si>
    <t>All about presentation</t>
  </si>
  <si>
    <t>Shapes</t>
  </si>
  <si>
    <t>Formatting</t>
  </si>
  <si>
    <t>Text Boxes</t>
  </si>
  <si>
    <t>Right click shape, or Format tab</t>
  </si>
  <si>
    <t>Selection Pane</t>
  </si>
  <si>
    <t>Align &amp; Distribute</t>
  </si>
  <si>
    <t>Change Shape</t>
  </si>
  <si>
    <t>Yellow squares</t>
  </si>
  <si>
    <t>Height &amp; Width</t>
  </si>
  <si>
    <t>Snap to Grid</t>
  </si>
  <si>
    <t>Rotate, Send Back, Send Forward, Hiding, &amp; Layering</t>
  </si>
  <si>
    <t>Insert Tab or CTRL + K</t>
  </si>
  <si>
    <t>Exisiting File or Webpage</t>
  </si>
  <si>
    <t>Place in this document</t>
  </si>
  <si>
    <t>Pictures too</t>
  </si>
  <si>
    <t>Can be added to Shapes &amp; Pictures</t>
  </si>
  <si>
    <t>Text Boxes, Shapes, &amp; Pictures</t>
  </si>
  <si>
    <t>Hidden gems in the "All Commands"</t>
  </si>
  <si>
    <t>Purpose &amp; Functionality</t>
  </si>
  <si>
    <t>F5 then "Special" or add to Quick Access Toolbar</t>
  </si>
  <si>
    <t>Unbelivably useful mass selection tool</t>
  </si>
  <si>
    <t>Comments</t>
  </si>
  <si>
    <t>Blanks</t>
  </si>
  <si>
    <t>Data Tab: What-If Analysis</t>
  </si>
  <si>
    <t>Does basic algebra for you</t>
  </si>
  <si>
    <t>Rank,Movie Title,Studio,Opening Date,Opening Theaters,Opening Gross,Closing Date,Closing Theaters,Total Gross</t>
  </si>
  <si>
    <t>1,The Hunger Games: Catching Fire,LGF,41600,4163,158074286,41732,4163,424668047</t>
  </si>
  <si>
    <t>2,Iron Man 3,BV,41397,4253,174144585,41529,4253,409013994</t>
  </si>
  <si>
    <t>3,Frozen,BV,41600,1,243390,41837,3742,400738009</t>
  </si>
  <si>
    <t>4,Despicable Me 2,Uni.,41458,3997,83517315,41655,4003,368061265</t>
  </si>
  <si>
    <t>5,Man of Steel,WB,41439,4207,116619362,41536,4207,291045518</t>
  </si>
  <si>
    <t>6,Gravity,WB,41551,3575,55785112,41767,3820,274092705</t>
  </si>
  <si>
    <t>7,Monsters University,BV,41446,4004,82429469,41627,4004,268492764</t>
  </si>
  <si>
    <t>8,The Hobbit: The Desolation of Smaug,WB,41621,3903,73645197,41746,3928,258366855</t>
  </si>
  <si>
    <t>9,Fast &amp; Furious 6,Uni.,41418,3658,97375245,41522,3771,238679850</t>
  </si>
  <si>
    <t>10,Oz The Great and Powerful,BV,41341,3912,79110453,41473,3912,234911825</t>
  </si>
  <si>
    <t>11,Star Trek Into Darkness,Par.,41410,3868,70165559,41529,3907,228778661</t>
  </si>
  <si>
    <t>12,Thor: The Dark World,BV,41586,3841,85737841,41746,3841,206362140</t>
  </si>
  <si>
    <t>13,World War Z,Par.,41446,3607,66411834,41557,3607,202359711</t>
  </si>
  <si>
    <t>14,The Croods,Fox,41355,4046,43639736,41536,4065,187168425</t>
  </si>
  <si>
    <t>15,The Heat,Fox,41453,3181,39115043,41620,3184,159582188</t>
  </si>
  <si>
    <t>16,We're the Millers,WB,41493,3260,26419396,41613,3445,150394119</t>
  </si>
  <si>
    <t>17,American Hustle,Sony,41621,6,740455,41735,2629,150117807</t>
  </si>
  <si>
    <t>18,The Great Gatsby (2013),WB,41404,3535,50085185,41508,3550,144840419</t>
  </si>
  <si>
    <t>19,The Conjuring,WB,41474,2903,41855326,41578,3115,137400141</t>
  </si>
  <si>
    <t>20,Identity Thief,Uni.,41313,3141,34551025,41431,3230,134506920</t>
  </si>
  <si>
    <t>21,Grown Ups 2,Sony,41467,3491,41508572,41595,3491,133668525</t>
  </si>
  <si>
    <t>22,The Wolverine,Fox,41481,3924,53113752,41613,3924,132556852</t>
  </si>
  <si>
    <t>23,Anchorman 2: The Legend Continues,Par.,41626,3507,26232425,41690,3507,125168368</t>
  </si>
  <si>
    <t>24,Lone Survivor,Uni.,41633,2,90872,41739,3285,125095601</t>
  </si>
  <si>
    <t>25,G.I. Joe: Retaliation,Par.,41361,3719,40501814,41473,3734,122523060</t>
  </si>
  <si>
    <t>26,Cloudy with a Chance of Meatballs 2,Sony,41544,4001,34017930,41714,4001,119793567</t>
  </si>
  <si>
    <t>27,Now You See Me,LG/S,41425,2925,29350389,41543,3082,117723989</t>
  </si>
  <si>
    <t>28,The Wolf of Wall Street,Par.,41633,2537,18361578,41732,2557,116900694</t>
  </si>
  <si>
    <t>29,Lee Daniels' The Butler,Wein.,41502,2933,24637312,41683,3330,116632095</t>
  </si>
  <si>
    <t>30,The Hangover Part III,WB,41417,3555,41671198,41501,3565,112200072</t>
  </si>
  <si>
    <t>31,Epic,Fox,41418,3882,33531068,41536,3894,107518682</t>
  </si>
  <si>
    <t>32,Captain Phillips,Sony,41558,3020,25718314,41700,3143,107100855</t>
  </si>
  <si>
    <t>33,Jackass Presents: Bad Grandpa,Par.,41572,3336,32055177,41662,3345,102003019</t>
  </si>
  <si>
    <t>34,Pacific Rim,WB,41467,3275,37285325,41564,3285,101802906</t>
  </si>
  <si>
    <t>35,This is the End,Sony,41437,3055,20719162,41553,3055,101470202</t>
  </si>
  <si>
    <t>36,Olympus Has Fallen,FD,41355,3098,30373794,41466,3106,98925640</t>
  </si>
  <si>
    <t>37,42,WB,41376,3003,27487144,41480,3405,95020213</t>
  </si>
  <si>
    <t>38,Elysium,TriS,41495,3284,29807393,41602,3284,93050117</t>
  </si>
  <si>
    <t>39,Planes,BV,41495,3702,22232291,41627,3716,90288712</t>
  </si>
  <si>
    <t>40,The Lone Ranger,BV,41458,3904,29210849,41557,3904,89302115</t>
  </si>
  <si>
    <t>41,Oblivion,Uni.,41383,3783,37054485,41452,3792,89107235</t>
  </si>
  <si>
    <t>42,Insidious Chapter 2,FD,41530,3049,40272103,41627,3155,83586447</t>
  </si>
  <si>
    <t>43,Saving Mr. Banks,BV,41621,15,413373,41746,2671,83301580</t>
  </si>
  <si>
    <t>44,Turbo,Fox,41472,3806,21312625,41620,3809,83028128</t>
  </si>
  <si>
    <t>45,2 Guns,Uni.,41488,3025,27059130,41571,3028,75612460</t>
  </si>
  <si>
    <t>46,White House Down,Sony,41453,3222,24852258,41532,3222,73103784</t>
  </si>
  <si>
    <t>47,Mama,Uni.,41292,2647,28402310,41368,2781,71628180</t>
  </si>
  <si>
    <t>48,Safe Haven,Rela.,41319,3223,21401594,41424,3223,71349120</t>
  </si>
  <si>
    <t>49,The Smurfs 2,Sony,41486,3866,17548389,41595,3867,71017784</t>
  </si>
  <si>
    <t>50,The Best Man Holiday,Uni.,41593,2024,30107555,41648,2041,70525195</t>
  </si>
  <si>
    <t>51,Percy Jackson: Sea of Monsters,Fox,41493,3031,14401054,41669,3080,68559554</t>
  </si>
  <si>
    <t>52,A Good Day to Die Hard,Fox,41319,3553,24834845,41417,3555,67349198</t>
  </si>
  <si>
    <t>53,Warm Bodies,LG/S,41306,3009,20353967,41403,3009,66380662</t>
  </si>
  <si>
    <t>54,Jack the Giant Slayer,WB (NL),41334,3525,27202226,41438,3525,65187603</t>
  </si>
  <si>
    <t>55,The Purge,Uni.,41432,2536,34058360,41494,2591,64473115</t>
  </si>
  <si>
    <t>56,Last Vegas,CBS,41579,3065,16334566,41690,3237,63914167</t>
  </si>
  <si>
    <t>57,Ender's Game,LG/S,41579,3407,27017351,41648,3407,61737191</t>
  </si>
  <si>
    <t>58,Prisoners,WB,41537,3260,20817053,41613,3290,61002302</t>
  </si>
  <si>
    <t>59,After Earth,Sony,41425,3401,27520040,41504,3401,60522097</t>
  </si>
  <si>
    <t>60,The Secret Life of Walter Mitty,Fox,41633,2909,12765508,41739,2922,58236838</t>
  </si>
  <si>
    <t>61,Escape From Planet Earth,Wein.,41320,3288,15891055,41480,3353,57012977</t>
  </si>
  <si>
    <t>62,12 Years a Slave,FoxS,41565,19,923715,41767,1474,56671993</t>
  </si>
  <si>
    <t>63,Free Birds,Rela.,41579,3736,15805237,41718,3736,55750480</t>
  </si>
  <si>
    <t>64,Hansel and Gretel: Witch Hunters,Par.,41299,3372,19690956,41389,3375,55703475</t>
  </si>
  <si>
    <t>65,Evil Dead (2013),TriS,41369,3025,25775847,41434,3025,54239856</t>
  </si>
  <si>
    <t>66,Red 2,LG/S,41474,3016,18048422,41564,3016,53262560</t>
  </si>
  <si>
    <t>67,Tyler Perry's A Madea Christmas,LGF,41621,2194,16007634,41683,2194,52543354</t>
  </si>
  <si>
    <t>68,Tyler Perry's Temptation: Confessions of a Marriage Counselor,LGF,41362,2047,21641679,41424,2047,51975354</t>
  </si>
  <si>
    <t>69,The Call,TriS,41348,2507,17118745,41434,2507,51872378</t>
  </si>
  <si>
    <t>70,Pain and Gain,Par.,41390,3277,20244505,41515,3303,49875291</t>
  </si>
  <si>
    <t>71,Gangster Squad,WB,41285,3103,17070347,41368,3103,46000903</t>
  </si>
  <si>
    <t>72,Jurassic Park 3D,Uni.,41369,2771,18620145,41417,2778,45385935</t>
  </si>
  <si>
    <t>73,The Internship,Fox,41432,3366,17325307,41529,3399,44672764</t>
  </si>
  <si>
    <t>74,Instructions Not Included,LGF,41516,348,7846426,41620,978,44467206</t>
  </si>
  <si>
    <t>75,Snitch,LG/S,41327,2511,13167607,41424,2511,42930462</t>
  </si>
  <si>
    <t>76,Riddick,Uni.,41523,3107,19030375,41578,3117,42025135</t>
  </si>
  <si>
    <t>77,A Haunted House,ORF,41285,2160,18101682,41336,2160,40041683</t>
  </si>
  <si>
    <t>78,47 Ronin,Uni.,41633,2689,9910310,41676,2690,38362475</t>
  </si>
  <si>
    <t>79,August: Osage County,Wein.,41635,5,179302,41767,2411,37738810</t>
  </si>
  <si>
    <t>80,Philomena,Wein.,41600,4,128435,41781,1225,37709979</t>
  </si>
  <si>
    <t>81,The Family (2013),Rela.,41530,3091,14034764,41648,3091,36918811</t>
  </si>
  <si>
    <t>82,Walking with Dinosaurs,Fox,41628,3231,7091938,41739,3243,36076121</t>
  </si>
  <si>
    <t>83,Carrie (2013),SGem,41565,3157,16101552,41602,3157,35266619</t>
  </si>
  <si>
    <t>84,Texas Chainsaw 3D,LGF,41278,2654,21744470,41333,2659,34341945</t>
  </si>
  <si>
    <t>85,R.I.P.D.,Uni.,41474,2852,12691415,41543,2852,33618855</t>
  </si>
  <si>
    <t>86,Blue Jasmine,SPC,41481,6,612064,41732,1283,33405481</t>
  </si>
  <si>
    <t>87,Kevin Hart: Let Me Explain,LG/S,41458,876,10030463,41508,892,32244051</t>
  </si>
  <si>
    <t>88,Side Effects (2013),ORF,41313,2605,9303145,41410,2605,32172757</t>
  </si>
  <si>
    <t>89,Scary Movie 5,W/Dim.,41376,3402,14157367,41480,3402,32015787</t>
  </si>
  <si>
    <t>90,The Mortal Instruments: City of Bones,SGem,41507,3118,9336957,41553,3118,31165421</t>
  </si>
  <si>
    <t>91,Delivery Man,BV,41600,3036,7944977,41718,3036,30664106</t>
  </si>
  <si>
    <t>92,Grudge Match,WB,41633,2838,7021993,41711,2856,29807260</t>
  </si>
  <si>
    <t>93,One Direction: This is Us,TriS,41516,2735,15815497,41553,2735,28873374</t>
  </si>
  <si>
    <t>94,Kick-A** 2,Uni.,41502,2940,13332955,41543,2945,28795985</t>
  </si>
  <si>
    <t>95,Dallas Buyers Club,Focus,41579,9,260865,41760,1110,27298285</t>
  </si>
  <si>
    <t>96,Rush (2013),Uni.,41537,5,187289,41599,2308,26947624</t>
  </si>
  <si>
    <t>97,The Host (2013),ORF,41362,3202,10600112,41424,3202,26627201</t>
  </si>
  <si>
    <t>98,The World's End,Focus,41509,1551,8811790,41613,1553,26004851</t>
  </si>
  <si>
    <t>99,21 and Over,Rela.,41334,2771,8754168,41410,2771,25682380</t>
  </si>
  <si>
    <t>100,Her (2013),WB,41626,6,260382,41746,1729,25568251</t>
  </si>
  <si>
    <t>Data Tab</t>
  </si>
  <si>
    <t>Delimited more often</t>
  </si>
  <si>
    <t>Incredibly useful tool</t>
  </si>
  <si>
    <t>Often you will "Expand the Selection" or simply select the entire table</t>
  </si>
  <si>
    <t>Other times you may simply copy an entire column to a separate sheet, and remove duplicates there</t>
  </si>
  <si>
    <t>A warning about copying &amp; pasting data</t>
  </si>
  <si>
    <t>Circling invalid data</t>
  </si>
  <si>
    <t>What to Allow</t>
  </si>
  <si>
    <t>Good for Shared Workbooks and whenever accuracy is strict</t>
  </si>
  <si>
    <t>Input Message</t>
  </si>
  <si>
    <t>Case Study: Only allow certain Studios using both "Remove Duplicates" &amp; "Data Validation"</t>
  </si>
  <si>
    <t>Error Alert &amp; Degree of Validation</t>
  </si>
  <si>
    <t>Often works best with Formatted Tables or applied to entire columns</t>
  </si>
  <si>
    <t>Might not always want the separation brought about by a PivotTable</t>
  </si>
  <si>
    <t>Sort by the category you want first</t>
  </si>
  <si>
    <t>BV Total</t>
  </si>
  <si>
    <t>CBS Total</t>
  </si>
  <si>
    <t>FD Total</t>
  </si>
  <si>
    <t>Focus Total</t>
  </si>
  <si>
    <t>Fox Total</t>
  </si>
  <si>
    <t>FoxS Total</t>
  </si>
  <si>
    <t>LG/S Total</t>
  </si>
  <si>
    <t>LGF Total</t>
  </si>
  <si>
    <t>ORF Total</t>
  </si>
  <si>
    <t>Par. Total</t>
  </si>
  <si>
    <t>Rela. Total</t>
  </si>
  <si>
    <t>SGem Total</t>
  </si>
  <si>
    <t>Sony Total</t>
  </si>
  <si>
    <t>SPC Total</t>
  </si>
  <si>
    <t>TriS Total</t>
  </si>
  <si>
    <t>Uni. Total</t>
  </si>
  <si>
    <t>W/Dim. Total</t>
  </si>
  <si>
    <t>WB Total</t>
  </si>
  <si>
    <t>WB (NL) Total</t>
  </si>
  <si>
    <t>Wein. Total</t>
  </si>
  <si>
    <t>Grand Total</t>
  </si>
  <si>
    <t>The different views</t>
  </si>
  <si>
    <t>GoTo Special &amp; The 2nd View</t>
  </si>
  <si>
    <t>Removing Subtotals</t>
  </si>
  <si>
    <t>Create from Selection</t>
  </si>
  <si>
    <t>Name Manager Add-in or CTRL + F3</t>
  </si>
  <si>
    <t>Name Manager (Shows up on Formula Tab)</t>
  </si>
  <si>
    <t>Naming entire ranges</t>
  </si>
  <si>
    <t>Custom Named Formulas</t>
  </si>
  <si>
    <t>The OFFSET Formula &amp; its use in Dynamic Named Ranges</t>
  </si>
  <si>
    <t>=COUNT</t>
  </si>
  <si>
    <t>=OFFSET</t>
  </si>
  <si>
    <t>???</t>
  </si>
  <si>
    <t>Nested</t>
  </si>
  <si>
    <t>Select Data to Trend</t>
  </si>
  <si>
    <t>Insert Tab: Select Sparkline type</t>
  </si>
  <si>
    <t>Select Location of Sparklines</t>
  </si>
  <si>
    <t>Sparkline Design Tab</t>
  </si>
  <si>
    <t>Value Axis not same for all Sparklines by default</t>
  </si>
  <si>
    <t>1st Month</t>
  </si>
  <si>
    <t>2nd Month</t>
  </si>
  <si>
    <t>3rd Month</t>
  </si>
  <si>
    <t>Show markers</t>
  </si>
  <si>
    <t>Grouping</t>
  </si>
  <si>
    <t>Charting is all about asking intelligent questions</t>
  </si>
  <si>
    <t>Charts, PivotCharts, &amp; Recommended Charts</t>
  </si>
  <si>
    <t>Double-click and make sure you selected the correct object</t>
  </si>
  <si>
    <t>Directional arrows</t>
  </si>
  <si>
    <t>Click &amp; see. Can re-select the data</t>
  </si>
  <si>
    <t>Change Chart Type</t>
  </si>
  <si>
    <t>Data storytelling vs. Artwork (Data Content vs. Presentation)</t>
  </si>
  <si>
    <t>Review tab</t>
  </si>
  <si>
    <t>Workbook "Protection"</t>
  </si>
  <si>
    <t>Can't share a workbook with formatted Tables, must be converted to ranges</t>
  </si>
  <si>
    <t>Protection vs. Sharing</t>
  </si>
  <si>
    <t>The value of comments</t>
  </si>
  <si>
    <t>Tracking Changes</t>
  </si>
  <si>
    <t>History</t>
  </si>
  <si>
    <t>Highlighted</t>
  </si>
  <si>
    <t>File size</t>
  </si>
  <si>
    <r>
      <t xml:space="preserve">You will want to have everything setup </t>
    </r>
    <r>
      <rPr>
        <u/>
        <sz val="12"/>
        <color theme="1"/>
        <rFont val="Times New Roman"/>
        <family val="1"/>
      </rPr>
      <t>before</t>
    </r>
    <r>
      <rPr>
        <sz val="12"/>
        <color theme="1"/>
        <rFont val="Times New Roman"/>
        <family val="1"/>
      </rPr>
      <t xml:space="preserve"> you begin sharing</t>
    </r>
  </si>
  <si>
    <t>In a shared workbook, you cannot:</t>
  </si>
  <si>
    <t>However, this functionality is available:</t>
  </si>
  <si>
    <t>Create an Excel table</t>
  </si>
  <si>
    <t>Insert or delete blocks of cells</t>
  </si>
  <si>
    <t>You can insert entire rows and columns</t>
  </si>
  <si>
    <t>Delete worksheets</t>
  </si>
  <si>
    <t>Merge cells or split merged cells</t>
  </si>
  <si>
    <t>Sort or filter by formatting</t>
  </si>
  <si>
    <t>You can sort or filter by number, text, or date, apply built-in filters, and filter by using the Search box</t>
  </si>
  <si>
    <t>Add or change conditional formats</t>
  </si>
  <si>
    <t>You can use existing conditional formats as cell values change</t>
  </si>
  <si>
    <t>Add or change data validation</t>
  </si>
  <si>
    <t>You can use data validation when you type new values</t>
  </si>
  <si>
    <t>Create or change charts or PivotChart reports</t>
  </si>
  <si>
    <t>You can view existing charts and reports</t>
  </si>
  <si>
    <t>Insert or change pictures or other objects</t>
  </si>
  <si>
    <t>You can view existing pictures and objects</t>
  </si>
  <si>
    <t>Insert or change hyperlinks</t>
  </si>
  <si>
    <t>You can use existing hyperlinks</t>
  </si>
  <si>
    <t>Use drawing tools</t>
  </si>
  <si>
    <t>You can view existing drawings and graphics</t>
  </si>
  <si>
    <t>Assign, change, or remove passwords</t>
  </si>
  <si>
    <t>You can use existing passwords</t>
  </si>
  <si>
    <t>Protect or unprotect worksheets or the workbook</t>
  </si>
  <si>
    <t>You can use existing protection</t>
  </si>
  <si>
    <t>Create, change, or view scenarios</t>
  </si>
  <si>
    <t>Use the Text to Columns command</t>
  </si>
  <si>
    <t>Group or outline data</t>
  </si>
  <si>
    <t>You can use existing outlines</t>
  </si>
  <si>
    <t>Insert automatic subtotals</t>
  </si>
  <si>
    <t>You can view existing subtotals</t>
  </si>
  <si>
    <t>Create data tables</t>
  </si>
  <si>
    <t>You can view existing data tables</t>
  </si>
  <si>
    <t>Create or change PivotTable reports</t>
  </si>
  <si>
    <t>You can view existing reports</t>
  </si>
  <si>
    <t>Create or apply slicers</t>
  </si>
  <si>
    <t>Existing slicers in a workbook are visible after the workbook is shared, but they cannot be changed for standalone slicers or be reapplied to PivotTable data or Cube functions. Any filtering that was applied for the slicer remains intact, whether the slicer is standalone or is used by PivotTable data or Cube functions in the shared workbook.</t>
  </si>
  <si>
    <t>Create or modify sparklines</t>
  </si>
  <si>
    <t>Existing sparklines in a workbook are displayed after the workbook is shared, and will change to reflect updated data. However, you cannot create new sparklines, change their data source, or modify their properties.</t>
  </si>
  <si>
    <t>Write, record, change, view, or assign macros</t>
  </si>
  <si>
    <t>You can run existing macros that don't access unavailable features. You can also record shared workbook operations into a macro stored in another nonshared workbook.</t>
  </si>
  <si>
    <t>Add or change Microsoft Excel 4 dialog sheets</t>
  </si>
  <si>
    <t>Change or delete array formulas</t>
  </si>
  <si>
    <t>Excel will calculate existing array formulas correctly</t>
  </si>
  <si>
    <t>Work with XML data, including:</t>
  </si>
  <si>
    <t>Import, refresh, and export XML data</t>
  </si>
  <si>
    <t>Add, rename, or delete XML maps</t>
  </si>
  <si>
    <t>Map cells to XML elements</t>
  </si>
  <si>
    <t>Use the XML Source task pane, XML toolbar, or XML commands on the Data menu</t>
  </si>
  <si>
    <t>Use a data form to add new data</t>
  </si>
  <si>
    <t>You can use a data form to find a record</t>
  </si>
  <si>
    <t>Bottom left of interface</t>
  </si>
  <si>
    <t>Give a shortcut key with CTRL + Shift + [Letter] so as not to override an existing shortcut</t>
  </si>
  <si>
    <t>Purpose &amp; Functionality of Macros</t>
  </si>
  <si>
    <t>What is a Macro?</t>
  </si>
  <si>
    <t>Plan ahead, go through the process, make it easy on yourself</t>
  </si>
  <si>
    <t>If you like the macro, you'll have to save the workbook as an .xlsm, "Macro-Enabled Workbook", instead of an .xlsx</t>
  </si>
  <si>
    <t>Workbook specific (so far)</t>
  </si>
  <si>
    <t>Record &amp; use a Macro</t>
  </si>
  <si>
    <t>Have to add it to your ribbon first</t>
  </si>
  <si>
    <t>Developer tab</t>
  </si>
  <si>
    <t>Insert</t>
  </si>
  <si>
    <t>Button</t>
  </si>
  <si>
    <t>Controls</t>
  </si>
  <si>
    <t>Control</t>
  </si>
  <si>
    <t>Functionality</t>
  </si>
  <si>
    <t>Runs a macro. There are infinite ways to run a macro though.</t>
  </si>
  <si>
    <t>ComboBox</t>
  </si>
  <si>
    <t>Check Box</t>
  </si>
  <si>
    <t>Spin Button</t>
  </si>
  <si>
    <t>List Box</t>
  </si>
  <si>
    <t>Option Button (Radio Button)</t>
  </si>
  <si>
    <t>Scroll Bar</t>
  </si>
  <si>
    <t>TRUE/FALSE, ON/OFF</t>
  </si>
  <si>
    <t>Create and later select an item from a list</t>
  </si>
  <si>
    <t>Increase or decrease a value, 1 click at a time</t>
  </si>
  <si>
    <t>Increase or decrease a value, with scrolling capabilities</t>
  </si>
  <si>
    <t>2 worlds have now opened up to you, the VBE &amp; Controls</t>
  </si>
  <si>
    <t>ActiveX vs. Form</t>
  </si>
  <si>
    <t>VBE is where you can edit the Macros you've been recording</t>
  </si>
  <si>
    <t>Relative vs. Absolute cell references is a toggle, even during recording</t>
  </si>
  <si>
    <t>It's a very readable programming language, just think logically about what you're looking at</t>
  </si>
  <si>
    <t>A</t>
  </si>
  <si>
    <t>B</t>
  </si>
  <si>
    <t>C</t>
  </si>
  <si>
    <t>D</t>
  </si>
  <si>
    <t>E</t>
  </si>
  <si>
    <t>F</t>
  </si>
  <si>
    <t>G</t>
  </si>
  <si>
    <t>Create and later select an item (or multiple with VBA) from a list</t>
  </si>
  <si>
    <t>Of the many options available, pick one</t>
  </si>
  <si>
    <t>Data content vs Presentation</t>
  </si>
  <si>
    <t>Design principles &amp; communication with the people who will make use of the end product</t>
  </si>
  <si>
    <t>Eric</t>
  </si>
  <si>
    <t>Paste Special: Linked Picture</t>
  </si>
  <si>
    <t>Use, don't abuse</t>
  </si>
  <si>
    <t>Developer tab can turn on/off add-ins easier as well</t>
  </si>
  <si>
    <t>Consider where the focus should be, necessity of accuracy, and what story you're trying to tell, and the intuitiveness of your interaction</t>
  </si>
  <si>
    <t>Use the Macro Recorder until you get the hang of it</t>
  </si>
  <si>
    <t>Most important programming concepts you can learn to get you started:</t>
  </si>
  <si>
    <t>Variables</t>
  </si>
  <si>
    <t>Loops</t>
  </si>
  <si>
    <t>Useful when you want to temporarily store something, a value, a range, etc</t>
  </si>
  <si>
    <t>You can name it anything you want, so be descriptive for easier reading</t>
  </si>
  <si>
    <t>Use "Option Explicit" to avoid trouble later, or turn that on always in the options</t>
  </si>
  <si>
    <t>Useful when you want to do something over and over in a specific way</t>
  </si>
  <si>
    <t>Readability</t>
  </si>
  <si>
    <t>Useful for any project you may want/need to come back to later</t>
  </si>
  <si>
    <t>Do…Loop While</t>
  </si>
  <si>
    <t>For…Next Loop</t>
  </si>
  <si>
    <t>Do While…Loop</t>
  </si>
  <si>
    <t>Events</t>
  </si>
  <si>
    <t>Useful when you want to trigger a Macro without a keystroke, button, or by running it manually</t>
  </si>
  <si>
    <t>Security concerns</t>
  </si>
  <si>
    <t>Subs</t>
  </si>
  <si>
    <t>Functions</t>
  </si>
  <si>
    <t>Save to your Personal Macro Workbook</t>
  </si>
  <si>
    <t>Programming is a language just like any foreign language, we're only learning to speak "Computer" now</t>
  </si>
  <si>
    <t>WiseOwl Tutorials</t>
  </si>
  <si>
    <t>Google, Copy, &amp; Paste</t>
  </si>
  <si>
    <t>Useful when you know enough to hear the language, but not necessarily write it</t>
  </si>
  <si>
    <t>VBA is an ocean, you can do almost anything imaginable</t>
  </si>
  <si>
    <t>Forethought</t>
  </si>
  <si>
    <t>No undo button, Macros are permanent, so make a backup of your workbook</t>
  </si>
  <si>
    <t>Useful to consider what exactly needs to be done before writing anything</t>
  </si>
  <si>
    <t>The VBE interface</t>
  </si>
  <si>
    <t>Code Window</t>
  </si>
  <si>
    <t>Project Window</t>
  </si>
  <si>
    <t>Immediate Window</t>
  </si>
  <si>
    <t>Locals Window</t>
  </si>
  <si>
    <t>Properties Window</t>
  </si>
  <si>
    <t>Debugging</t>
  </si>
  <si>
    <t>Useful when thing don't turn out just right</t>
  </si>
  <si>
    <t>Start learning the keystrokes ALT + F11</t>
  </si>
  <si>
    <t>F5 &amp; F8</t>
  </si>
  <si>
    <t>Breakpoints</t>
  </si>
  <si>
    <t>Object Browser = Potential + Dictionary</t>
  </si>
  <si>
    <t>Objects</t>
  </si>
  <si>
    <t>Properties</t>
  </si>
  <si>
    <t>Methods</t>
  </si>
  <si>
    <t>Nouns</t>
  </si>
  <si>
    <t>Adjectives</t>
  </si>
  <si>
    <t>Verbs</t>
  </si>
  <si>
    <t>Classes</t>
  </si>
  <si>
    <t>Chapter in Dictionary</t>
  </si>
  <si>
    <t>Slang</t>
  </si>
  <si>
    <t>Built in Constants</t>
  </si>
  <si>
    <t>Boolean Logic</t>
  </si>
  <si>
    <t>Useful in decision making</t>
  </si>
  <si>
    <t>If…Then</t>
  </si>
  <si>
    <t>Else If…Else</t>
  </si>
  <si>
    <t>Verifying a value and determining where it falls in relation to your preconceived expectations</t>
  </si>
  <si>
    <t>Select Case Statements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</si>
</sst>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8" formatCode="&quot;$&quot;#,##0.00_);[Red]\(&quot;$&quot;#,##0.00\)"/>
    <numFmt numFmtId="164" formatCode=";;;"/>
    <numFmt numFmtId="165" formatCode="&quot;$&quot;#,,&quot; M&quot;;"/>
  </numFmts>
  <fonts count="13" x14ac:knownFonts="1">
    <font>
      <sz val="12"/>
      <color theme="1"/>
      <name val="Times New Roman"/>
      <family val="2"/>
    </font>
    <font>
      <u/>
      <sz val="12"/>
      <color theme="10"/>
      <name val="Times New Roman"/>
      <family val="2"/>
    </font>
    <font>
      <b/>
      <sz val="12"/>
      <name val="Times New Roman"/>
      <family val="1"/>
    </font>
    <font>
      <sz val="12"/>
      <name val="Times New Roman"/>
      <family val="1"/>
    </font>
    <font>
      <u/>
      <sz val="12"/>
      <name val="Times New Roman"/>
      <family val="1"/>
    </font>
    <font>
      <b/>
      <sz val="12"/>
      <color theme="1"/>
      <name val="Times New Roman"/>
      <family val="1"/>
    </font>
    <font>
      <sz val="9"/>
      <color indexed="81"/>
      <name val="Tahoma"/>
      <family val="2"/>
    </font>
    <font>
      <b/>
      <sz val="9"/>
      <color indexed="81"/>
      <name val="Tahoma"/>
      <family val="2"/>
    </font>
    <font>
      <b/>
      <sz val="12"/>
      <color theme="1"/>
      <name val="Times New Roman"/>
      <family val="2"/>
    </font>
    <font>
      <u/>
      <sz val="12"/>
      <color theme="1"/>
      <name val="Times New Roman"/>
      <family val="1"/>
    </font>
    <font>
      <sz val="12"/>
      <color theme="1"/>
      <name val="Times New Roman"/>
      <family val="1"/>
    </font>
    <font>
      <sz val="12"/>
      <color rgb="FF000000"/>
      <name val="Times New Roman"/>
      <family val="1"/>
    </font>
    <font>
      <sz val="8"/>
      <color rgb="FF000000"/>
      <name val="Segoe UI"/>
      <family val="2"/>
    </font>
  </fonts>
  <fills count="10">
    <fill>
      <patternFill patternType="none"/>
    </fill>
    <fill>
      <patternFill patternType="gray125"/>
    </fill>
    <fill>
      <patternFill patternType="solid">
        <fgColor rgb="FFDCDCDC"/>
        <bgColor indexed="64"/>
      </patternFill>
    </fill>
    <fill>
      <patternFill patternType="solid">
        <fgColor rgb="FFFFFFFF"/>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tint="0.59999389629810485"/>
        <bgColor indexed="64"/>
      </patternFill>
    </fill>
  </fills>
  <borders count="1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applyNumberFormat="0" applyFill="0" applyBorder="0" applyAlignment="0" applyProtection="0"/>
  </cellStyleXfs>
  <cellXfs count="69">
    <xf numFmtId="0" fontId="0" fillId="0" borderId="0" xfId="0"/>
    <xf numFmtId="0" fontId="3" fillId="2" borderId="4" xfId="1"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4" fillId="3" borderId="4" xfId="1" applyFont="1" applyFill="1" applyBorder="1" applyAlignment="1">
      <alignment horizontal="center" vertical="center" wrapText="1"/>
    </xf>
    <xf numFmtId="0" fontId="3" fillId="3" borderId="4" xfId="1" applyFont="1" applyFill="1" applyBorder="1" applyAlignment="1">
      <alignment horizontal="center" vertical="center" wrapText="1"/>
    </xf>
    <xf numFmtId="16" fontId="3" fillId="3" borderId="4" xfId="1" applyNumberFormat="1" applyFont="1" applyFill="1" applyBorder="1" applyAlignment="1">
      <alignment horizontal="center" vertical="center" wrapText="1"/>
    </xf>
    <xf numFmtId="3" fontId="3" fillId="3" borderId="4" xfId="0" applyNumberFormat="1" applyFont="1" applyFill="1" applyBorder="1" applyAlignment="1">
      <alignment horizontal="center" vertical="center" wrapText="1"/>
    </xf>
    <xf numFmtId="6" fontId="3" fillId="3" borderId="4" xfId="0" applyNumberFormat="1" applyFont="1" applyFill="1" applyBorder="1" applyAlignment="1">
      <alignment horizontal="center" vertical="center" wrapText="1"/>
    </xf>
    <xf numFmtId="16" fontId="3" fillId="3" borderId="4" xfId="0" applyNumberFormat="1" applyFont="1" applyFill="1" applyBorder="1" applyAlignment="1">
      <alignment horizontal="center" vertical="center" wrapText="1"/>
    </xf>
    <xf numFmtId="0" fontId="5" fillId="0" borderId="0" xfId="0" applyFont="1"/>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5" borderId="4" xfId="1" applyFont="1" applyFill="1" applyBorder="1" applyAlignment="1">
      <alignment horizontal="center" vertical="center" wrapText="1"/>
    </xf>
    <xf numFmtId="6" fontId="0" fillId="0" borderId="0" xfId="0" applyNumberFormat="1"/>
    <xf numFmtId="8" fontId="0" fillId="0" borderId="0" xfId="0" applyNumberFormat="1"/>
    <xf numFmtId="6" fontId="3" fillId="5" borderId="4" xfId="0" applyNumberFormat="1" applyFont="1" applyFill="1" applyBorder="1" applyAlignment="1">
      <alignment horizontal="center" vertical="center" wrapText="1"/>
    </xf>
    <xf numFmtId="6" fontId="3" fillId="7" borderId="4" xfId="0" applyNumberFormat="1" applyFont="1" applyFill="1" applyBorder="1" applyAlignment="1">
      <alignment horizontal="center" vertical="center" wrapText="1"/>
    </xf>
    <xf numFmtId="3" fontId="3" fillId="5" borderId="4" xfId="0" applyNumberFormat="1" applyFont="1" applyFill="1" applyBorder="1" applyAlignment="1">
      <alignment horizontal="center" vertical="center" wrapText="1"/>
    </xf>
    <xf numFmtId="0" fontId="3" fillId="5" borderId="4" xfId="0" applyFont="1" applyFill="1" applyBorder="1" applyAlignment="1">
      <alignment horizontal="center" vertical="center" wrapText="1"/>
    </xf>
    <xf numFmtId="0" fontId="4" fillId="5" borderId="4" xfId="1" applyFont="1" applyFill="1" applyBorder="1" applyAlignment="1">
      <alignment horizontal="center" vertical="center" wrapText="1"/>
    </xf>
    <xf numFmtId="16" fontId="3" fillId="5" borderId="4" xfId="1" applyNumberFormat="1" applyFont="1" applyFill="1" applyBorder="1" applyAlignment="1">
      <alignment horizontal="center" vertical="center" wrapText="1"/>
    </xf>
    <xf numFmtId="16" fontId="3" fillId="5" borderId="4" xfId="0" applyNumberFormat="1" applyFont="1" applyFill="1" applyBorder="1" applyAlignment="1">
      <alignment horizontal="center" vertical="center" wrapText="1"/>
    </xf>
    <xf numFmtId="6" fontId="3" fillId="3" borderId="1" xfId="0" applyNumberFormat="1" applyFont="1" applyFill="1" applyBorder="1" applyAlignment="1">
      <alignment horizontal="center" vertical="center" wrapText="1"/>
    </xf>
    <xf numFmtId="3" fontId="3" fillId="3" borderId="6" xfId="0" applyNumberFormat="1" applyFont="1" applyFill="1" applyBorder="1" applyAlignment="1">
      <alignment horizontal="center" vertical="center" wrapText="1"/>
    </xf>
    <xf numFmtId="16" fontId="3" fillId="3" borderId="6" xfId="0" applyNumberFormat="1" applyFont="1" applyFill="1" applyBorder="1" applyAlignment="1">
      <alignment horizontal="center" vertical="center" wrapText="1"/>
    </xf>
    <xf numFmtId="6" fontId="3" fillId="3" borderId="7" xfId="0" applyNumberFormat="1" applyFont="1" applyFill="1" applyBorder="1" applyAlignment="1">
      <alignment horizontal="center" vertical="center" wrapText="1"/>
    </xf>
    <xf numFmtId="0" fontId="3" fillId="2" borderId="9" xfId="1" applyFont="1" applyFill="1" applyBorder="1" applyAlignment="1">
      <alignment horizontal="center" vertical="center" wrapText="1"/>
    </xf>
    <xf numFmtId="0" fontId="3" fillId="2" borderId="10" xfId="1"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4" fillId="6" borderId="4" xfId="1" applyFont="1" applyFill="1" applyBorder="1" applyAlignment="1">
      <alignment horizontal="center" vertical="center" wrapText="1"/>
    </xf>
    <xf numFmtId="0" fontId="3" fillId="6" borderId="4" xfId="1" applyFont="1" applyFill="1" applyBorder="1" applyAlignment="1">
      <alignment horizontal="center" vertical="center" wrapText="1"/>
    </xf>
    <xf numFmtId="16" fontId="3" fillId="6" borderId="4" xfId="1" applyNumberFormat="1" applyFont="1" applyFill="1" applyBorder="1" applyAlignment="1">
      <alignment horizontal="center" vertical="center" wrapText="1"/>
    </xf>
    <xf numFmtId="3" fontId="3" fillId="6" borderId="4" xfId="0" applyNumberFormat="1" applyFont="1" applyFill="1" applyBorder="1" applyAlignment="1">
      <alignment horizontal="center" vertical="center" wrapText="1"/>
    </xf>
    <xf numFmtId="0" fontId="3" fillId="6" borderId="5" xfId="0" applyFont="1" applyFill="1" applyBorder="1" applyAlignment="1">
      <alignment horizontal="center" vertical="center" wrapText="1"/>
    </xf>
    <xf numFmtId="0" fontId="4" fillId="6" borderId="6" xfId="1" applyFont="1" applyFill="1" applyBorder="1" applyAlignment="1">
      <alignment horizontal="center" vertical="center" wrapText="1"/>
    </xf>
    <xf numFmtId="0" fontId="3" fillId="6" borderId="6" xfId="1" applyFont="1" applyFill="1" applyBorder="1" applyAlignment="1">
      <alignment horizontal="center" vertical="center" wrapText="1"/>
    </xf>
    <xf numFmtId="16" fontId="3" fillId="6" borderId="6" xfId="1" applyNumberFormat="1" applyFont="1" applyFill="1" applyBorder="1" applyAlignment="1">
      <alignment horizontal="center" vertical="center" wrapText="1"/>
    </xf>
    <xf numFmtId="3" fontId="3" fillId="6" borderId="6" xfId="0" applyNumberFormat="1" applyFont="1" applyFill="1" applyBorder="1" applyAlignment="1">
      <alignment horizontal="center" vertical="center" wrapText="1"/>
    </xf>
    <xf numFmtId="6" fontId="2" fillId="3" borderId="4" xfId="1" applyNumberFormat="1" applyFont="1" applyFill="1" applyBorder="1" applyAlignment="1">
      <alignment horizontal="center" vertical="center" wrapText="1"/>
    </xf>
    <xf numFmtId="0" fontId="2" fillId="3" borderId="4" xfId="1" applyFont="1" applyFill="1" applyBorder="1" applyAlignment="1">
      <alignment horizontal="center" vertical="center" wrapText="1"/>
    </xf>
    <xf numFmtId="0" fontId="0" fillId="8" borderId="4" xfId="0" applyFill="1" applyBorder="1"/>
    <xf numFmtId="0" fontId="0" fillId="0" borderId="0" xfId="0" quotePrefix="1" applyAlignment="1">
      <alignment horizontal="left"/>
    </xf>
    <xf numFmtId="0" fontId="0" fillId="0" borderId="0" xfId="0" applyNumberFormat="1"/>
    <xf numFmtId="49" fontId="3" fillId="3" borderId="4" xfId="0" applyNumberFormat="1" applyFont="1" applyFill="1" applyBorder="1" applyAlignment="1">
      <alignment horizontal="center" vertical="center" wrapText="1"/>
    </xf>
    <xf numFmtId="164" fontId="0" fillId="0" borderId="0" xfId="0" applyNumberFormat="1"/>
    <xf numFmtId="0" fontId="8" fillId="9" borderId="4" xfId="0" applyFont="1" applyFill="1" applyBorder="1" applyAlignment="1">
      <alignment vertical="center" wrapText="1"/>
    </xf>
    <xf numFmtId="0" fontId="0" fillId="0" borderId="4" xfId="0" applyBorder="1" applyAlignment="1">
      <alignment vertical="center" wrapText="1"/>
    </xf>
    <xf numFmtId="0" fontId="0" fillId="0" borderId="4" xfId="0" applyBorder="1" applyAlignment="1">
      <alignment horizontal="left" vertical="center" wrapText="1"/>
    </xf>
    <xf numFmtId="0" fontId="0" fillId="9" borderId="4" xfId="0" applyFill="1" applyBorder="1" applyAlignment="1">
      <alignment horizontal="left"/>
    </xf>
    <xf numFmtId="0" fontId="0" fillId="0" borderId="4" xfId="0" applyBorder="1" applyAlignment="1">
      <alignment horizontal="left"/>
    </xf>
    <xf numFmtId="0" fontId="0" fillId="0" borderId="0" xfId="0" applyFill="1" applyBorder="1" applyAlignment="1">
      <alignment horizontal="left"/>
    </xf>
    <xf numFmtId="0" fontId="0" fillId="5" borderId="0" xfId="0" applyFill="1"/>
    <xf numFmtId="0" fontId="0" fillId="8" borderId="0" xfId="0" applyFill="1"/>
    <xf numFmtId="0" fontId="0" fillId="7" borderId="0" xfId="0" applyFill="1"/>
    <xf numFmtId="165" fontId="3" fillId="3" borderId="4" xfId="0" applyNumberFormat="1" applyFont="1" applyFill="1" applyBorder="1" applyAlignment="1">
      <alignment horizontal="center" vertical="center" wrapText="1"/>
    </xf>
    <xf numFmtId="0" fontId="1" fillId="0" borderId="0" xfId="1"/>
    <xf numFmtId="0" fontId="5" fillId="4" borderId="0" xfId="0" applyFont="1" applyFill="1" applyAlignment="1">
      <alignment horizontal="center"/>
    </xf>
    <xf numFmtId="0" fontId="2" fillId="2" borderId="1" xfId="1" applyFont="1" applyFill="1" applyBorder="1" applyAlignment="1">
      <alignment horizontal="center" vertical="center" wrapText="1"/>
    </xf>
    <xf numFmtId="0" fontId="2" fillId="2" borderId="2" xfId="1" applyFont="1" applyFill="1" applyBorder="1" applyAlignment="1">
      <alignment horizontal="center" vertical="center" wrapText="1"/>
    </xf>
    <xf numFmtId="0" fontId="2" fillId="2" borderId="3" xfId="1" applyFont="1" applyFill="1" applyBorder="1" applyAlignment="1">
      <alignment horizontal="center" vertical="center" wrapText="1"/>
    </xf>
    <xf numFmtId="0" fontId="2" fillId="2" borderId="4" xfId="1" applyFont="1" applyFill="1" applyBorder="1" applyAlignment="1">
      <alignment horizontal="center" vertical="center" wrapText="1"/>
    </xf>
    <xf numFmtId="0" fontId="2" fillId="5" borderId="1" xfId="1" applyFont="1" applyFill="1" applyBorder="1" applyAlignment="1">
      <alignment horizontal="center" vertical="center" wrapText="1"/>
    </xf>
    <xf numFmtId="0" fontId="2" fillId="5" borderId="2" xfId="1" applyFont="1" applyFill="1" applyBorder="1" applyAlignment="1">
      <alignment horizontal="center" vertical="center" wrapText="1"/>
    </xf>
    <xf numFmtId="0" fontId="2" fillId="5" borderId="3" xfId="1" applyFont="1" applyFill="1" applyBorder="1" applyAlignment="1">
      <alignment horizontal="center" vertical="center" wrapText="1"/>
    </xf>
  </cellXfs>
  <cellStyles count="2">
    <cellStyle name="Hyperlink" xfId="1" builtinId="8"/>
    <cellStyle name="Normal" xfId="0" builtinId="0"/>
  </cellStyles>
  <dxfs count="14">
    <dxf>
      <font>
        <b val="0"/>
        <i val="0"/>
        <strike val="0"/>
        <condense val="0"/>
        <extend val="0"/>
        <outline val="0"/>
        <shadow val="0"/>
        <u val="none"/>
        <vertAlign val="baseline"/>
        <sz val="12"/>
        <color auto="1"/>
        <name val="Times New Roman"/>
        <scheme val="none"/>
      </font>
      <numFmt numFmtId="10" formatCode="&quot;$&quot;#,##0_);[Red]\(&quot;$&quot;#,##0\)"/>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numFmt numFmtId="3" formatCode="#,##0"/>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numFmt numFmtId="21" formatCode="d\-mmm"/>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numFmt numFmtId="10" formatCode="&quot;$&quot;#,##0_);[Red]\(&quot;$&quot;#,##0\)"/>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auto="1"/>
        <name val="Times New Roman"/>
        <scheme val="none"/>
      </font>
      <numFmt numFmtId="3" formatCode="#,##0"/>
      <fill>
        <patternFill patternType="solid">
          <fgColor indexed="64"/>
          <bgColor theme="8"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numFmt numFmtId="21" formatCode="d\-mmm"/>
      <fill>
        <patternFill patternType="solid">
          <fgColor indexed="64"/>
          <bgColor theme="8"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fill>
        <patternFill patternType="solid">
          <fgColor indexed="64"/>
          <bgColor theme="8"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2"/>
        <color auto="1"/>
        <name val="Times New Roman"/>
        <scheme val="none"/>
      </font>
      <fill>
        <patternFill patternType="solid">
          <fgColor indexed="64"/>
          <bgColor theme="8"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fill>
        <patternFill patternType="solid">
          <fgColor indexed="64"/>
          <bgColor theme="8" tint="0.79998168889431442"/>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fill>
        <patternFill patternType="solid">
          <fgColor indexed="64"/>
          <bgColor rgb="FFFFFFFF"/>
        </patternFill>
      </fill>
      <alignment horizontal="center" vertical="center" textRotation="0" wrapText="1" indent="0" justifyLastLine="0" shrinkToFit="0" readingOrder="0"/>
    </dxf>
    <dxf>
      <border outline="0">
        <bottom style="thin">
          <color indexed="64"/>
        </bottom>
      </border>
    </dxf>
    <dxf>
      <font>
        <b val="0"/>
        <i val="0"/>
        <strike val="0"/>
        <condense val="0"/>
        <extend val="0"/>
        <outline val="0"/>
        <shadow val="0"/>
        <u val="none"/>
        <vertAlign val="baseline"/>
        <sz val="12"/>
        <color auto="1"/>
        <name val="Times New Roman"/>
        <scheme val="none"/>
      </font>
      <fill>
        <patternFill patternType="solid">
          <fgColor indexed="64"/>
          <bgColor rgb="FFDCDCDC"/>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image" Target="../media/image3.gif"/><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noFill/>
              <a:latin typeface="+mn-lt"/>
              <a:ea typeface="+mn-ea"/>
              <a:cs typeface="+mn-cs"/>
            </a:defRPr>
          </a:pPr>
          <a:endParaRPr lang="en-US"/>
        </a:p>
      </c:txPr>
    </c:title>
    <c:autoTitleDeleted val="0"/>
    <c:plotArea>
      <c:layout/>
      <c:scatterChart>
        <c:scatterStyle val="lineMarker"/>
        <c:varyColors val="0"/>
        <c:ser>
          <c:idx val="0"/>
          <c:order val="0"/>
          <c:tx>
            <c:strRef>
              <c:f>Charting!$I$2</c:f>
              <c:strCache>
                <c:ptCount val="1"/>
                <c:pt idx="0">
                  <c:v>Total Gross</c:v>
                </c:pt>
              </c:strCache>
            </c:strRef>
          </c:tx>
          <c:spPr>
            <a:ln w="19050" cap="rnd">
              <a:noFill/>
              <a:round/>
            </a:ln>
            <a:effectLst/>
          </c:spPr>
          <c:marker>
            <c:symbol val="circle"/>
            <c:size val="5"/>
            <c:spPr>
              <a:solidFill>
                <a:srgbClr val="7030A0"/>
              </a:solidFill>
              <a:ln w="12700">
                <a:solidFill>
                  <a:schemeClr val="bg1"/>
                </a:solidFill>
              </a:ln>
              <a:effectLst/>
            </c:spPr>
          </c:marker>
          <c:xVal>
            <c:numRef>
              <c:f>Charting!$H$3:$H$102</c:f>
              <c:numCache>
                <c:formatCode>#,##0</c:formatCode>
                <c:ptCount val="100"/>
                <c:pt idx="0">
                  <c:v>4163</c:v>
                </c:pt>
                <c:pt idx="1">
                  <c:v>4253</c:v>
                </c:pt>
                <c:pt idx="2">
                  <c:v>3742</c:v>
                </c:pt>
                <c:pt idx="3">
                  <c:v>4003</c:v>
                </c:pt>
                <c:pt idx="4">
                  <c:v>4207</c:v>
                </c:pt>
                <c:pt idx="5">
                  <c:v>3820</c:v>
                </c:pt>
                <c:pt idx="6">
                  <c:v>4004</c:v>
                </c:pt>
                <c:pt idx="7">
                  <c:v>3928</c:v>
                </c:pt>
                <c:pt idx="8">
                  <c:v>3771</c:v>
                </c:pt>
                <c:pt idx="9">
                  <c:v>3912</c:v>
                </c:pt>
                <c:pt idx="10">
                  <c:v>3907</c:v>
                </c:pt>
                <c:pt idx="11">
                  <c:v>3841</c:v>
                </c:pt>
                <c:pt idx="12">
                  <c:v>3607</c:v>
                </c:pt>
                <c:pt idx="13">
                  <c:v>4065</c:v>
                </c:pt>
                <c:pt idx="14">
                  <c:v>3184</c:v>
                </c:pt>
                <c:pt idx="15">
                  <c:v>3445</c:v>
                </c:pt>
                <c:pt idx="16">
                  <c:v>2629</c:v>
                </c:pt>
                <c:pt idx="17">
                  <c:v>3550</c:v>
                </c:pt>
                <c:pt idx="18">
                  <c:v>3115</c:v>
                </c:pt>
                <c:pt idx="19">
                  <c:v>3230</c:v>
                </c:pt>
                <c:pt idx="20">
                  <c:v>3491</c:v>
                </c:pt>
                <c:pt idx="21">
                  <c:v>3924</c:v>
                </c:pt>
                <c:pt idx="22">
                  <c:v>3507</c:v>
                </c:pt>
                <c:pt idx="23">
                  <c:v>3285</c:v>
                </c:pt>
                <c:pt idx="24">
                  <c:v>3734</c:v>
                </c:pt>
                <c:pt idx="25">
                  <c:v>4001</c:v>
                </c:pt>
                <c:pt idx="26">
                  <c:v>3082</c:v>
                </c:pt>
                <c:pt idx="27">
                  <c:v>2557</c:v>
                </c:pt>
                <c:pt idx="28">
                  <c:v>3330</c:v>
                </c:pt>
                <c:pt idx="29">
                  <c:v>3565</c:v>
                </c:pt>
                <c:pt idx="30">
                  <c:v>3894</c:v>
                </c:pt>
                <c:pt idx="31">
                  <c:v>3143</c:v>
                </c:pt>
                <c:pt idx="32">
                  <c:v>3345</c:v>
                </c:pt>
                <c:pt idx="33">
                  <c:v>3285</c:v>
                </c:pt>
                <c:pt idx="34">
                  <c:v>3055</c:v>
                </c:pt>
                <c:pt idx="35">
                  <c:v>3106</c:v>
                </c:pt>
                <c:pt idx="36">
                  <c:v>3405</c:v>
                </c:pt>
                <c:pt idx="37">
                  <c:v>3284</c:v>
                </c:pt>
                <c:pt idx="38">
                  <c:v>3716</c:v>
                </c:pt>
                <c:pt idx="39">
                  <c:v>3904</c:v>
                </c:pt>
                <c:pt idx="40">
                  <c:v>3792</c:v>
                </c:pt>
                <c:pt idx="41">
                  <c:v>3155</c:v>
                </c:pt>
                <c:pt idx="42">
                  <c:v>2671</c:v>
                </c:pt>
                <c:pt idx="43">
                  <c:v>3809</c:v>
                </c:pt>
                <c:pt idx="44">
                  <c:v>3028</c:v>
                </c:pt>
                <c:pt idx="45">
                  <c:v>3222</c:v>
                </c:pt>
                <c:pt idx="46">
                  <c:v>2781</c:v>
                </c:pt>
                <c:pt idx="47">
                  <c:v>3223</c:v>
                </c:pt>
                <c:pt idx="48">
                  <c:v>3867</c:v>
                </c:pt>
                <c:pt idx="49">
                  <c:v>2041</c:v>
                </c:pt>
                <c:pt idx="50">
                  <c:v>3080</c:v>
                </c:pt>
                <c:pt idx="51">
                  <c:v>3555</c:v>
                </c:pt>
                <c:pt idx="52">
                  <c:v>3009</c:v>
                </c:pt>
                <c:pt idx="53">
                  <c:v>3525</c:v>
                </c:pt>
                <c:pt idx="54">
                  <c:v>2591</c:v>
                </c:pt>
                <c:pt idx="55">
                  <c:v>3237</c:v>
                </c:pt>
                <c:pt idx="56">
                  <c:v>3407</c:v>
                </c:pt>
                <c:pt idx="57">
                  <c:v>3290</c:v>
                </c:pt>
                <c:pt idx="58">
                  <c:v>3401</c:v>
                </c:pt>
                <c:pt idx="59">
                  <c:v>2922</c:v>
                </c:pt>
                <c:pt idx="60">
                  <c:v>3353</c:v>
                </c:pt>
                <c:pt idx="61">
                  <c:v>1474</c:v>
                </c:pt>
                <c:pt idx="62">
                  <c:v>3736</c:v>
                </c:pt>
                <c:pt idx="63">
                  <c:v>3375</c:v>
                </c:pt>
                <c:pt idx="64">
                  <c:v>3025</c:v>
                </c:pt>
                <c:pt idx="65">
                  <c:v>3016</c:v>
                </c:pt>
                <c:pt idx="66">
                  <c:v>2194</c:v>
                </c:pt>
                <c:pt idx="67">
                  <c:v>2047</c:v>
                </c:pt>
                <c:pt idx="68">
                  <c:v>2507</c:v>
                </c:pt>
                <c:pt idx="69">
                  <c:v>3303</c:v>
                </c:pt>
                <c:pt idx="70">
                  <c:v>3103</c:v>
                </c:pt>
                <c:pt idx="71">
                  <c:v>2778</c:v>
                </c:pt>
                <c:pt idx="72">
                  <c:v>3399</c:v>
                </c:pt>
                <c:pt idx="73">
                  <c:v>978</c:v>
                </c:pt>
                <c:pt idx="74">
                  <c:v>2511</c:v>
                </c:pt>
                <c:pt idx="75">
                  <c:v>3117</c:v>
                </c:pt>
                <c:pt idx="76">
                  <c:v>2160</c:v>
                </c:pt>
                <c:pt idx="77">
                  <c:v>2690</c:v>
                </c:pt>
                <c:pt idx="78">
                  <c:v>2411</c:v>
                </c:pt>
                <c:pt idx="79">
                  <c:v>1225</c:v>
                </c:pt>
                <c:pt idx="80">
                  <c:v>3091</c:v>
                </c:pt>
                <c:pt idx="81">
                  <c:v>3243</c:v>
                </c:pt>
                <c:pt idx="82">
                  <c:v>3157</c:v>
                </c:pt>
                <c:pt idx="83">
                  <c:v>2659</c:v>
                </c:pt>
                <c:pt idx="84">
                  <c:v>2852</c:v>
                </c:pt>
                <c:pt idx="85">
                  <c:v>1283</c:v>
                </c:pt>
                <c:pt idx="86">
                  <c:v>892</c:v>
                </c:pt>
                <c:pt idx="87">
                  <c:v>2605</c:v>
                </c:pt>
                <c:pt idx="88">
                  <c:v>3402</c:v>
                </c:pt>
                <c:pt idx="89">
                  <c:v>3118</c:v>
                </c:pt>
                <c:pt idx="90">
                  <c:v>3036</c:v>
                </c:pt>
                <c:pt idx="91">
                  <c:v>2856</c:v>
                </c:pt>
                <c:pt idx="92">
                  <c:v>2735</c:v>
                </c:pt>
                <c:pt idx="93">
                  <c:v>2945</c:v>
                </c:pt>
                <c:pt idx="94">
                  <c:v>1110</c:v>
                </c:pt>
                <c:pt idx="95">
                  <c:v>2308</c:v>
                </c:pt>
                <c:pt idx="96">
                  <c:v>3202</c:v>
                </c:pt>
                <c:pt idx="97">
                  <c:v>1553</c:v>
                </c:pt>
                <c:pt idx="98">
                  <c:v>2771</c:v>
                </c:pt>
                <c:pt idx="99">
                  <c:v>1729</c:v>
                </c:pt>
              </c:numCache>
            </c:numRef>
          </c:xVal>
          <c:yVal>
            <c:numRef>
              <c:f>Charting!$I$3:$I$102</c:f>
              <c:numCache>
                <c:formatCode>"$"#,##0_);[Red]\("$"#,##0\)</c:formatCode>
                <c:ptCount val="100"/>
                <c:pt idx="0">
                  <c:v>424668047</c:v>
                </c:pt>
                <c:pt idx="1">
                  <c:v>409013994</c:v>
                </c:pt>
                <c:pt idx="2">
                  <c:v>400738009</c:v>
                </c:pt>
                <c:pt idx="3">
                  <c:v>368061265</c:v>
                </c:pt>
                <c:pt idx="4">
                  <c:v>291045518</c:v>
                </c:pt>
                <c:pt idx="5">
                  <c:v>274092705</c:v>
                </c:pt>
                <c:pt idx="6">
                  <c:v>268492764</c:v>
                </c:pt>
                <c:pt idx="7">
                  <c:v>258366855</c:v>
                </c:pt>
                <c:pt idx="8">
                  <c:v>238679850</c:v>
                </c:pt>
                <c:pt idx="9">
                  <c:v>234911825</c:v>
                </c:pt>
                <c:pt idx="10">
                  <c:v>228778661</c:v>
                </c:pt>
                <c:pt idx="11">
                  <c:v>206362140</c:v>
                </c:pt>
                <c:pt idx="12">
                  <c:v>202359711</c:v>
                </c:pt>
                <c:pt idx="13">
                  <c:v>187168425</c:v>
                </c:pt>
                <c:pt idx="14">
                  <c:v>159582188</c:v>
                </c:pt>
                <c:pt idx="15">
                  <c:v>150394119</c:v>
                </c:pt>
                <c:pt idx="16">
                  <c:v>150117807</c:v>
                </c:pt>
                <c:pt idx="17">
                  <c:v>144840419</c:v>
                </c:pt>
                <c:pt idx="18">
                  <c:v>137400141</c:v>
                </c:pt>
                <c:pt idx="19">
                  <c:v>134506920</c:v>
                </c:pt>
                <c:pt idx="20">
                  <c:v>133668525</c:v>
                </c:pt>
                <c:pt idx="21">
                  <c:v>132556852</c:v>
                </c:pt>
                <c:pt idx="22">
                  <c:v>125168368</c:v>
                </c:pt>
                <c:pt idx="23">
                  <c:v>125095601</c:v>
                </c:pt>
                <c:pt idx="24">
                  <c:v>122523060</c:v>
                </c:pt>
                <c:pt idx="25">
                  <c:v>119793567</c:v>
                </c:pt>
                <c:pt idx="26">
                  <c:v>117723989</c:v>
                </c:pt>
                <c:pt idx="27">
                  <c:v>116900694</c:v>
                </c:pt>
                <c:pt idx="28">
                  <c:v>116632095</c:v>
                </c:pt>
                <c:pt idx="29">
                  <c:v>112200072</c:v>
                </c:pt>
                <c:pt idx="30">
                  <c:v>107518682</c:v>
                </c:pt>
                <c:pt idx="31">
                  <c:v>107100855</c:v>
                </c:pt>
                <c:pt idx="32">
                  <c:v>102003019</c:v>
                </c:pt>
                <c:pt idx="33">
                  <c:v>101802906</c:v>
                </c:pt>
                <c:pt idx="34">
                  <c:v>101470202</c:v>
                </c:pt>
                <c:pt idx="35">
                  <c:v>98925640</c:v>
                </c:pt>
                <c:pt idx="36">
                  <c:v>95020213</c:v>
                </c:pt>
                <c:pt idx="37">
                  <c:v>93050117</c:v>
                </c:pt>
                <c:pt idx="38">
                  <c:v>90288712</c:v>
                </c:pt>
                <c:pt idx="39">
                  <c:v>89302115</c:v>
                </c:pt>
                <c:pt idx="40">
                  <c:v>89107235</c:v>
                </c:pt>
                <c:pt idx="41">
                  <c:v>83586447</c:v>
                </c:pt>
                <c:pt idx="42">
                  <c:v>83301580</c:v>
                </c:pt>
                <c:pt idx="43">
                  <c:v>83028128</c:v>
                </c:pt>
                <c:pt idx="44">
                  <c:v>75612460</c:v>
                </c:pt>
                <c:pt idx="45">
                  <c:v>73103784</c:v>
                </c:pt>
                <c:pt idx="46">
                  <c:v>71628180</c:v>
                </c:pt>
                <c:pt idx="47">
                  <c:v>71349120</c:v>
                </c:pt>
                <c:pt idx="48">
                  <c:v>71017784</c:v>
                </c:pt>
                <c:pt idx="49">
                  <c:v>70525195</c:v>
                </c:pt>
                <c:pt idx="50">
                  <c:v>68559554</c:v>
                </c:pt>
                <c:pt idx="51">
                  <c:v>67349198</c:v>
                </c:pt>
                <c:pt idx="52">
                  <c:v>66380662</c:v>
                </c:pt>
                <c:pt idx="53">
                  <c:v>65187603</c:v>
                </c:pt>
                <c:pt idx="54">
                  <c:v>64473115</c:v>
                </c:pt>
                <c:pt idx="55">
                  <c:v>63914167</c:v>
                </c:pt>
                <c:pt idx="56">
                  <c:v>61737191</c:v>
                </c:pt>
                <c:pt idx="57">
                  <c:v>61002302</c:v>
                </c:pt>
                <c:pt idx="58">
                  <c:v>60522097</c:v>
                </c:pt>
                <c:pt idx="59">
                  <c:v>58236838</c:v>
                </c:pt>
                <c:pt idx="60">
                  <c:v>57012977</c:v>
                </c:pt>
                <c:pt idx="61">
                  <c:v>56671993</c:v>
                </c:pt>
                <c:pt idx="62">
                  <c:v>55750480</c:v>
                </c:pt>
                <c:pt idx="63">
                  <c:v>55703475</c:v>
                </c:pt>
                <c:pt idx="64">
                  <c:v>54239856</c:v>
                </c:pt>
                <c:pt idx="65">
                  <c:v>53262560</c:v>
                </c:pt>
                <c:pt idx="66">
                  <c:v>52543354</c:v>
                </c:pt>
                <c:pt idx="67">
                  <c:v>51975354</c:v>
                </c:pt>
                <c:pt idx="68">
                  <c:v>51872378</c:v>
                </c:pt>
                <c:pt idx="69">
                  <c:v>49875291</c:v>
                </c:pt>
                <c:pt idx="70">
                  <c:v>46000903</c:v>
                </c:pt>
                <c:pt idx="71">
                  <c:v>45385935</c:v>
                </c:pt>
                <c:pt idx="72">
                  <c:v>44672764</c:v>
                </c:pt>
                <c:pt idx="73">
                  <c:v>44467206</c:v>
                </c:pt>
                <c:pt idx="74">
                  <c:v>42930462</c:v>
                </c:pt>
                <c:pt idx="75">
                  <c:v>42025135</c:v>
                </c:pt>
                <c:pt idx="76">
                  <c:v>40041683</c:v>
                </c:pt>
                <c:pt idx="77">
                  <c:v>38362475</c:v>
                </c:pt>
                <c:pt idx="78">
                  <c:v>37738810</c:v>
                </c:pt>
                <c:pt idx="79">
                  <c:v>37709979</c:v>
                </c:pt>
                <c:pt idx="80">
                  <c:v>36918811</c:v>
                </c:pt>
                <c:pt idx="81">
                  <c:v>36076121</c:v>
                </c:pt>
                <c:pt idx="82">
                  <c:v>35266619</c:v>
                </c:pt>
                <c:pt idx="83">
                  <c:v>34341945</c:v>
                </c:pt>
                <c:pt idx="84">
                  <c:v>33618855</c:v>
                </c:pt>
                <c:pt idx="85">
                  <c:v>33405481</c:v>
                </c:pt>
                <c:pt idx="86">
                  <c:v>32244051</c:v>
                </c:pt>
                <c:pt idx="87">
                  <c:v>32172757</c:v>
                </c:pt>
                <c:pt idx="88">
                  <c:v>32015787</c:v>
                </c:pt>
                <c:pt idx="89">
                  <c:v>31165421</c:v>
                </c:pt>
                <c:pt idx="90">
                  <c:v>30664106</c:v>
                </c:pt>
                <c:pt idx="91">
                  <c:v>29807260</c:v>
                </c:pt>
                <c:pt idx="92">
                  <c:v>28873374</c:v>
                </c:pt>
                <c:pt idx="93">
                  <c:v>28795985</c:v>
                </c:pt>
                <c:pt idx="94">
                  <c:v>27298285</c:v>
                </c:pt>
                <c:pt idx="95">
                  <c:v>26947624</c:v>
                </c:pt>
                <c:pt idx="96">
                  <c:v>26627201</c:v>
                </c:pt>
                <c:pt idx="97">
                  <c:v>26004851</c:v>
                </c:pt>
                <c:pt idx="98">
                  <c:v>25682380</c:v>
                </c:pt>
                <c:pt idx="99">
                  <c:v>25568251</c:v>
                </c:pt>
              </c:numCache>
            </c:numRef>
          </c:yVal>
          <c:smooth val="0"/>
        </c:ser>
        <c:dLbls>
          <c:showLegendKey val="0"/>
          <c:showVal val="0"/>
          <c:showCatName val="0"/>
          <c:showSerName val="0"/>
          <c:showPercent val="0"/>
          <c:showBubbleSize val="0"/>
        </c:dLbls>
        <c:axId val="687910544"/>
        <c:axId val="687911664"/>
      </c:scatterChart>
      <c:valAx>
        <c:axId val="687910544"/>
        <c:scaling>
          <c:orientation val="minMax"/>
          <c:max val="4500"/>
          <c:min val="0"/>
        </c:scaling>
        <c:delete val="0"/>
        <c:axPos val="b"/>
        <c:numFmt formatCode="#,##0" sourceLinked="1"/>
        <c:majorTickMark val="none"/>
        <c:minorTickMark val="none"/>
        <c:tickLblPos val="nextTo"/>
        <c: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solidFill>
                <a:latin typeface="Castellar" panose="020A0402060406010301" pitchFamily="18" charset="0"/>
                <a:ea typeface="+mn-ea"/>
                <a:cs typeface="+mn-cs"/>
              </a:defRPr>
            </a:pPr>
            <a:endParaRPr lang="en-US"/>
          </a:p>
        </c:txPr>
        <c:crossAx val="687911664"/>
        <c:crosses val="autoZero"/>
        <c:crossBetween val="midCat"/>
      </c:valAx>
      <c:valAx>
        <c:axId val="687911664"/>
        <c:scaling>
          <c:orientation val="minMax"/>
        </c:scaling>
        <c:delete val="0"/>
        <c:axPos val="l"/>
        <c:majorGridlines>
          <c:spPr>
            <a:ln w="19050" cap="rnd" cmpd="dbl" algn="ctr">
              <a:solidFill>
                <a:schemeClr val="accent4">
                  <a:alpha val="71000"/>
                </a:schemeClr>
              </a:solidFill>
              <a:round/>
            </a:ln>
            <a:effectLst/>
          </c:spPr>
        </c:majorGridlines>
        <c:numFmt formatCode="&quot;$&quot;#,##0_);[Red]\(&quot;$&quot;#,##0\)" sourceLinked="1"/>
        <c:majorTickMark val="none"/>
        <c:minorTickMark val="none"/>
        <c:tickLblPos val="nextTo"/>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accent6"/>
                </a:solidFill>
                <a:latin typeface="Bodoni MT Black" panose="02070A03080606020203" pitchFamily="18" charset="0"/>
                <a:ea typeface="+mn-ea"/>
                <a:cs typeface="+mn-cs"/>
              </a:defRPr>
            </a:pPr>
            <a:endParaRPr lang="en-US"/>
          </a:p>
        </c:txPr>
        <c:crossAx val="687910544"/>
        <c:crosses val="autoZero"/>
        <c:crossBetween val="midCat"/>
      </c:valAx>
      <c:spPr>
        <a:noFill/>
        <a:ln>
          <a:noFill/>
        </a:ln>
        <a:effectLst/>
      </c:spPr>
    </c:plotArea>
    <c:plotVisOnly val="1"/>
    <c:dispBlanksAs val="gap"/>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noFill/>
                <a:latin typeface="+mn-lt"/>
                <a:ea typeface="+mn-ea"/>
                <a:cs typeface="+mn-cs"/>
              </a:defRPr>
            </a:pPr>
            <a:r>
              <a:rPr lang="en-US">
                <a:noFill/>
                <a:latin typeface="Arial Narrow" panose="020B0606020202030204" pitchFamily="34" charset="0"/>
              </a:rPr>
              <a:t>Box Office Gross vs. Number of Theaters</a:t>
            </a:r>
          </a:p>
          <a:p>
            <a:pPr>
              <a:defRPr>
                <a:noFill/>
              </a:defRPr>
            </a:pPr>
            <a:r>
              <a:rPr lang="en-US">
                <a:noFill/>
                <a:latin typeface="Arial Narrow" panose="020B0606020202030204" pitchFamily="34" charset="0"/>
              </a:rPr>
              <a:t>(Top 100 Grossing Movies of 2013)</a:t>
            </a:r>
          </a:p>
        </c:rich>
      </c:tx>
      <c:layout>
        <c:manualLayout>
          <c:xMode val="edge"/>
          <c:yMode val="edge"/>
          <c:x val="0.16735411198600175"/>
          <c:y val="0"/>
        </c:manualLayout>
      </c:layout>
      <c:overlay val="0"/>
      <c:spPr>
        <a:noFill/>
        <a:ln>
          <a:noFill/>
        </a:ln>
        <a:effectLst/>
      </c:spPr>
      <c:txPr>
        <a:bodyPr rot="0" spcFirstLastPara="1" vertOverflow="ellipsis" vert="horz" wrap="square" anchor="ctr" anchorCtr="1"/>
        <a:lstStyle/>
        <a:p>
          <a:pPr>
            <a:defRPr sz="1400" b="0" i="0" u="none" strike="noStrike" kern="1200" spc="0" baseline="0">
              <a:noFill/>
              <a:latin typeface="+mn-lt"/>
              <a:ea typeface="+mn-ea"/>
              <a:cs typeface="+mn-cs"/>
            </a:defRPr>
          </a:pPr>
          <a:endParaRPr lang="en-US"/>
        </a:p>
      </c:txPr>
    </c:title>
    <c:autoTitleDeleted val="0"/>
    <c:plotArea>
      <c:layout/>
      <c:scatterChart>
        <c:scatterStyle val="lineMarker"/>
        <c:varyColors val="0"/>
        <c:ser>
          <c:idx val="0"/>
          <c:order val="0"/>
          <c:tx>
            <c:strRef>
              <c:f>Charting!$I$2</c:f>
              <c:strCache>
                <c:ptCount val="1"/>
                <c:pt idx="0">
                  <c:v>Total Gross</c:v>
                </c:pt>
              </c:strCache>
            </c:strRef>
          </c:tx>
          <c:spPr>
            <a:ln w="19050" cap="rnd">
              <a:noFill/>
              <a:round/>
            </a:ln>
            <a:effectLst/>
          </c:spPr>
          <c:marker>
            <c:symbol val="circle"/>
            <c:size val="5"/>
            <c:spPr>
              <a:solidFill>
                <a:schemeClr val="tx1"/>
              </a:solidFill>
              <a:ln w="9525">
                <a:noFill/>
              </a:ln>
              <a:effectLst/>
            </c:spPr>
          </c:marker>
          <c:xVal>
            <c:numRef>
              <c:f>Charting!$H$3:$H$102</c:f>
              <c:numCache>
                <c:formatCode>#,##0</c:formatCode>
                <c:ptCount val="100"/>
                <c:pt idx="0">
                  <c:v>4163</c:v>
                </c:pt>
                <c:pt idx="1">
                  <c:v>4253</c:v>
                </c:pt>
                <c:pt idx="2">
                  <c:v>3742</c:v>
                </c:pt>
                <c:pt idx="3">
                  <c:v>4003</c:v>
                </c:pt>
                <c:pt idx="4">
                  <c:v>4207</c:v>
                </c:pt>
                <c:pt idx="5">
                  <c:v>3820</c:v>
                </c:pt>
                <c:pt idx="6">
                  <c:v>4004</c:v>
                </c:pt>
                <c:pt idx="7">
                  <c:v>3928</c:v>
                </c:pt>
                <c:pt idx="8">
                  <c:v>3771</c:v>
                </c:pt>
                <c:pt idx="9">
                  <c:v>3912</c:v>
                </c:pt>
                <c:pt idx="10">
                  <c:v>3907</c:v>
                </c:pt>
                <c:pt idx="11">
                  <c:v>3841</c:v>
                </c:pt>
                <c:pt idx="12">
                  <c:v>3607</c:v>
                </c:pt>
                <c:pt idx="13">
                  <c:v>4065</c:v>
                </c:pt>
                <c:pt idx="14">
                  <c:v>3184</c:v>
                </c:pt>
                <c:pt idx="15">
                  <c:v>3445</c:v>
                </c:pt>
                <c:pt idx="16">
                  <c:v>2629</c:v>
                </c:pt>
                <c:pt idx="17">
                  <c:v>3550</c:v>
                </c:pt>
                <c:pt idx="18">
                  <c:v>3115</c:v>
                </c:pt>
                <c:pt idx="19">
                  <c:v>3230</c:v>
                </c:pt>
                <c:pt idx="20">
                  <c:v>3491</c:v>
                </c:pt>
                <c:pt idx="21">
                  <c:v>3924</c:v>
                </c:pt>
                <c:pt idx="22">
                  <c:v>3507</c:v>
                </c:pt>
                <c:pt idx="23">
                  <c:v>3285</c:v>
                </c:pt>
                <c:pt idx="24">
                  <c:v>3734</c:v>
                </c:pt>
                <c:pt idx="25">
                  <c:v>4001</c:v>
                </c:pt>
                <c:pt idx="26">
                  <c:v>3082</c:v>
                </c:pt>
                <c:pt idx="27">
                  <c:v>2557</c:v>
                </c:pt>
                <c:pt idx="28">
                  <c:v>3330</c:v>
                </c:pt>
                <c:pt idx="29">
                  <c:v>3565</c:v>
                </c:pt>
                <c:pt idx="30">
                  <c:v>3894</c:v>
                </c:pt>
                <c:pt idx="31">
                  <c:v>3143</c:v>
                </c:pt>
                <c:pt idx="32">
                  <c:v>3345</c:v>
                </c:pt>
                <c:pt idx="33">
                  <c:v>3285</c:v>
                </c:pt>
                <c:pt idx="34">
                  <c:v>3055</c:v>
                </c:pt>
                <c:pt idx="35">
                  <c:v>3106</c:v>
                </c:pt>
                <c:pt idx="36">
                  <c:v>3405</c:v>
                </c:pt>
                <c:pt idx="37">
                  <c:v>3284</c:v>
                </c:pt>
                <c:pt idx="38">
                  <c:v>3716</c:v>
                </c:pt>
                <c:pt idx="39">
                  <c:v>3904</c:v>
                </c:pt>
                <c:pt idx="40">
                  <c:v>3792</c:v>
                </c:pt>
                <c:pt idx="41">
                  <c:v>3155</c:v>
                </c:pt>
                <c:pt idx="42">
                  <c:v>2671</c:v>
                </c:pt>
                <c:pt idx="43">
                  <c:v>3809</c:v>
                </c:pt>
                <c:pt idx="44">
                  <c:v>3028</c:v>
                </c:pt>
                <c:pt idx="45">
                  <c:v>3222</c:v>
                </c:pt>
                <c:pt idx="46">
                  <c:v>2781</c:v>
                </c:pt>
                <c:pt idx="47">
                  <c:v>3223</c:v>
                </c:pt>
                <c:pt idx="48">
                  <c:v>3867</c:v>
                </c:pt>
                <c:pt idx="49">
                  <c:v>2041</c:v>
                </c:pt>
                <c:pt idx="50">
                  <c:v>3080</c:v>
                </c:pt>
                <c:pt idx="51">
                  <c:v>3555</c:v>
                </c:pt>
                <c:pt idx="52">
                  <c:v>3009</c:v>
                </c:pt>
                <c:pt idx="53">
                  <c:v>3525</c:v>
                </c:pt>
                <c:pt idx="54">
                  <c:v>2591</c:v>
                </c:pt>
                <c:pt idx="55">
                  <c:v>3237</c:v>
                </c:pt>
                <c:pt idx="56">
                  <c:v>3407</c:v>
                </c:pt>
                <c:pt idx="57">
                  <c:v>3290</c:v>
                </c:pt>
                <c:pt idx="58">
                  <c:v>3401</c:v>
                </c:pt>
                <c:pt idx="59">
                  <c:v>2922</c:v>
                </c:pt>
                <c:pt idx="60">
                  <c:v>3353</c:v>
                </c:pt>
                <c:pt idx="61">
                  <c:v>1474</c:v>
                </c:pt>
                <c:pt idx="62">
                  <c:v>3736</c:v>
                </c:pt>
                <c:pt idx="63">
                  <c:v>3375</c:v>
                </c:pt>
                <c:pt idx="64">
                  <c:v>3025</c:v>
                </c:pt>
                <c:pt idx="65">
                  <c:v>3016</c:v>
                </c:pt>
                <c:pt idx="66">
                  <c:v>2194</c:v>
                </c:pt>
                <c:pt idx="67">
                  <c:v>2047</c:v>
                </c:pt>
                <c:pt idx="68">
                  <c:v>2507</c:v>
                </c:pt>
                <c:pt idx="69">
                  <c:v>3303</c:v>
                </c:pt>
                <c:pt idx="70">
                  <c:v>3103</c:v>
                </c:pt>
                <c:pt idx="71">
                  <c:v>2778</c:v>
                </c:pt>
                <c:pt idx="72">
                  <c:v>3399</c:v>
                </c:pt>
                <c:pt idx="73">
                  <c:v>978</c:v>
                </c:pt>
                <c:pt idx="74">
                  <c:v>2511</c:v>
                </c:pt>
                <c:pt idx="75">
                  <c:v>3117</c:v>
                </c:pt>
                <c:pt idx="76">
                  <c:v>2160</c:v>
                </c:pt>
                <c:pt idx="77">
                  <c:v>2690</c:v>
                </c:pt>
                <c:pt idx="78">
                  <c:v>2411</c:v>
                </c:pt>
                <c:pt idx="79">
                  <c:v>1225</c:v>
                </c:pt>
                <c:pt idx="80">
                  <c:v>3091</c:v>
                </c:pt>
                <c:pt idx="81">
                  <c:v>3243</c:v>
                </c:pt>
                <c:pt idx="82">
                  <c:v>3157</c:v>
                </c:pt>
                <c:pt idx="83">
                  <c:v>2659</c:v>
                </c:pt>
                <c:pt idx="84">
                  <c:v>2852</c:v>
                </c:pt>
                <c:pt idx="85">
                  <c:v>1283</c:v>
                </c:pt>
                <c:pt idx="86">
                  <c:v>892</c:v>
                </c:pt>
                <c:pt idx="87">
                  <c:v>2605</c:v>
                </c:pt>
                <c:pt idx="88">
                  <c:v>3402</c:v>
                </c:pt>
                <c:pt idx="89">
                  <c:v>3118</c:v>
                </c:pt>
                <c:pt idx="90">
                  <c:v>3036</c:v>
                </c:pt>
                <c:pt idx="91">
                  <c:v>2856</c:v>
                </c:pt>
                <c:pt idx="92">
                  <c:v>2735</c:v>
                </c:pt>
                <c:pt idx="93">
                  <c:v>2945</c:v>
                </c:pt>
                <c:pt idx="94">
                  <c:v>1110</c:v>
                </c:pt>
                <c:pt idx="95">
                  <c:v>2308</c:v>
                </c:pt>
                <c:pt idx="96">
                  <c:v>3202</c:v>
                </c:pt>
                <c:pt idx="97">
                  <c:v>1553</c:v>
                </c:pt>
                <c:pt idx="98">
                  <c:v>2771</c:v>
                </c:pt>
                <c:pt idx="99">
                  <c:v>1729</c:v>
                </c:pt>
              </c:numCache>
            </c:numRef>
          </c:xVal>
          <c:yVal>
            <c:numRef>
              <c:f>Charting!$I$3:$I$102</c:f>
              <c:numCache>
                <c:formatCode>"$"#,##0_);[Red]\("$"#,##0\)</c:formatCode>
                <c:ptCount val="100"/>
                <c:pt idx="0">
                  <c:v>424668047</c:v>
                </c:pt>
                <c:pt idx="1">
                  <c:v>409013994</c:v>
                </c:pt>
                <c:pt idx="2">
                  <c:v>400738009</c:v>
                </c:pt>
                <c:pt idx="3">
                  <c:v>368061265</c:v>
                </c:pt>
                <c:pt idx="4">
                  <c:v>291045518</c:v>
                </c:pt>
                <c:pt idx="5">
                  <c:v>274092705</c:v>
                </c:pt>
                <c:pt idx="6">
                  <c:v>268492764</c:v>
                </c:pt>
                <c:pt idx="7">
                  <c:v>258366855</c:v>
                </c:pt>
                <c:pt idx="8">
                  <c:v>238679850</c:v>
                </c:pt>
                <c:pt idx="9">
                  <c:v>234911825</c:v>
                </c:pt>
                <c:pt idx="10">
                  <c:v>228778661</c:v>
                </c:pt>
                <c:pt idx="11">
                  <c:v>206362140</c:v>
                </c:pt>
                <c:pt idx="12">
                  <c:v>202359711</c:v>
                </c:pt>
                <c:pt idx="13">
                  <c:v>187168425</c:v>
                </c:pt>
                <c:pt idx="14">
                  <c:v>159582188</c:v>
                </c:pt>
                <c:pt idx="15">
                  <c:v>150394119</c:v>
                </c:pt>
                <c:pt idx="16">
                  <c:v>150117807</c:v>
                </c:pt>
                <c:pt idx="17">
                  <c:v>144840419</c:v>
                </c:pt>
                <c:pt idx="18">
                  <c:v>137400141</c:v>
                </c:pt>
                <c:pt idx="19">
                  <c:v>134506920</c:v>
                </c:pt>
                <c:pt idx="20">
                  <c:v>133668525</c:v>
                </c:pt>
                <c:pt idx="21">
                  <c:v>132556852</c:v>
                </c:pt>
                <c:pt idx="22">
                  <c:v>125168368</c:v>
                </c:pt>
                <c:pt idx="23">
                  <c:v>125095601</c:v>
                </c:pt>
                <c:pt idx="24">
                  <c:v>122523060</c:v>
                </c:pt>
                <c:pt idx="25">
                  <c:v>119793567</c:v>
                </c:pt>
                <c:pt idx="26">
                  <c:v>117723989</c:v>
                </c:pt>
                <c:pt idx="27">
                  <c:v>116900694</c:v>
                </c:pt>
                <c:pt idx="28">
                  <c:v>116632095</c:v>
                </c:pt>
                <c:pt idx="29">
                  <c:v>112200072</c:v>
                </c:pt>
                <c:pt idx="30">
                  <c:v>107518682</c:v>
                </c:pt>
                <c:pt idx="31">
                  <c:v>107100855</c:v>
                </c:pt>
                <c:pt idx="32">
                  <c:v>102003019</c:v>
                </c:pt>
                <c:pt idx="33">
                  <c:v>101802906</c:v>
                </c:pt>
                <c:pt idx="34">
                  <c:v>101470202</c:v>
                </c:pt>
                <c:pt idx="35">
                  <c:v>98925640</c:v>
                </c:pt>
                <c:pt idx="36">
                  <c:v>95020213</c:v>
                </c:pt>
                <c:pt idx="37">
                  <c:v>93050117</c:v>
                </c:pt>
                <c:pt idx="38">
                  <c:v>90288712</c:v>
                </c:pt>
                <c:pt idx="39">
                  <c:v>89302115</c:v>
                </c:pt>
                <c:pt idx="40">
                  <c:v>89107235</c:v>
                </c:pt>
                <c:pt idx="41">
                  <c:v>83586447</c:v>
                </c:pt>
                <c:pt idx="42">
                  <c:v>83301580</c:v>
                </c:pt>
                <c:pt idx="43">
                  <c:v>83028128</c:v>
                </c:pt>
                <c:pt idx="44">
                  <c:v>75612460</c:v>
                </c:pt>
                <c:pt idx="45">
                  <c:v>73103784</c:v>
                </c:pt>
                <c:pt idx="46">
                  <c:v>71628180</c:v>
                </c:pt>
                <c:pt idx="47">
                  <c:v>71349120</c:v>
                </c:pt>
                <c:pt idx="48">
                  <c:v>71017784</c:v>
                </c:pt>
                <c:pt idx="49">
                  <c:v>70525195</c:v>
                </c:pt>
                <c:pt idx="50">
                  <c:v>68559554</c:v>
                </c:pt>
                <c:pt idx="51">
                  <c:v>67349198</c:v>
                </c:pt>
                <c:pt idx="52">
                  <c:v>66380662</c:v>
                </c:pt>
                <c:pt idx="53">
                  <c:v>65187603</c:v>
                </c:pt>
                <c:pt idx="54">
                  <c:v>64473115</c:v>
                </c:pt>
                <c:pt idx="55">
                  <c:v>63914167</c:v>
                </c:pt>
                <c:pt idx="56">
                  <c:v>61737191</c:v>
                </c:pt>
                <c:pt idx="57">
                  <c:v>61002302</c:v>
                </c:pt>
                <c:pt idx="58">
                  <c:v>60522097</c:v>
                </c:pt>
                <c:pt idx="59">
                  <c:v>58236838</c:v>
                </c:pt>
                <c:pt idx="60">
                  <c:v>57012977</c:v>
                </c:pt>
                <c:pt idx="61">
                  <c:v>56671993</c:v>
                </c:pt>
                <c:pt idx="62">
                  <c:v>55750480</c:v>
                </c:pt>
                <c:pt idx="63">
                  <c:v>55703475</c:v>
                </c:pt>
                <c:pt idx="64">
                  <c:v>54239856</c:v>
                </c:pt>
                <c:pt idx="65">
                  <c:v>53262560</c:v>
                </c:pt>
                <c:pt idx="66">
                  <c:v>52543354</c:v>
                </c:pt>
                <c:pt idx="67">
                  <c:v>51975354</c:v>
                </c:pt>
                <c:pt idx="68">
                  <c:v>51872378</c:v>
                </c:pt>
                <c:pt idx="69">
                  <c:v>49875291</c:v>
                </c:pt>
                <c:pt idx="70">
                  <c:v>46000903</c:v>
                </c:pt>
                <c:pt idx="71">
                  <c:v>45385935</c:v>
                </c:pt>
                <c:pt idx="72">
                  <c:v>44672764</c:v>
                </c:pt>
                <c:pt idx="73">
                  <c:v>44467206</c:v>
                </c:pt>
                <c:pt idx="74">
                  <c:v>42930462</c:v>
                </c:pt>
                <c:pt idx="75">
                  <c:v>42025135</c:v>
                </c:pt>
                <c:pt idx="76">
                  <c:v>40041683</c:v>
                </c:pt>
                <c:pt idx="77">
                  <c:v>38362475</c:v>
                </c:pt>
                <c:pt idx="78">
                  <c:v>37738810</c:v>
                </c:pt>
                <c:pt idx="79">
                  <c:v>37709979</c:v>
                </c:pt>
                <c:pt idx="80">
                  <c:v>36918811</c:v>
                </c:pt>
                <c:pt idx="81">
                  <c:v>36076121</c:v>
                </c:pt>
                <c:pt idx="82">
                  <c:v>35266619</c:v>
                </c:pt>
                <c:pt idx="83">
                  <c:v>34341945</c:v>
                </c:pt>
                <c:pt idx="84">
                  <c:v>33618855</c:v>
                </c:pt>
                <c:pt idx="85">
                  <c:v>33405481</c:v>
                </c:pt>
                <c:pt idx="86">
                  <c:v>32244051</c:v>
                </c:pt>
                <c:pt idx="87">
                  <c:v>32172757</c:v>
                </c:pt>
                <c:pt idx="88">
                  <c:v>32015787</c:v>
                </c:pt>
                <c:pt idx="89">
                  <c:v>31165421</c:v>
                </c:pt>
                <c:pt idx="90">
                  <c:v>30664106</c:v>
                </c:pt>
                <c:pt idx="91">
                  <c:v>29807260</c:v>
                </c:pt>
                <c:pt idx="92">
                  <c:v>28873374</c:v>
                </c:pt>
                <c:pt idx="93">
                  <c:v>28795985</c:v>
                </c:pt>
                <c:pt idx="94">
                  <c:v>27298285</c:v>
                </c:pt>
                <c:pt idx="95">
                  <c:v>26947624</c:v>
                </c:pt>
                <c:pt idx="96">
                  <c:v>26627201</c:v>
                </c:pt>
                <c:pt idx="97">
                  <c:v>26004851</c:v>
                </c:pt>
                <c:pt idx="98">
                  <c:v>25682380</c:v>
                </c:pt>
                <c:pt idx="99">
                  <c:v>25568251</c:v>
                </c:pt>
              </c:numCache>
            </c:numRef>
          </c:yVal>
          <c:smooth val="0"/>
        </c:ser>
        <c:dLbls>
          <c:showLegendKey val="0"/>
          <c:showVal val="0"/>
          <c:showCatName val="0"/>
          <c:showSerName val="0"/>
          <c:showPercent val="0"/>
          <c:showBubbleSize val="0"/>
        </c:dLbls>
        <c:axId val="734742000"/>
        <c:axId val="734742560"/>
      </c:scatterChart>
      <c:valAx>
        <c:axId val="734742000"/>
        <c:scaling>
          <c:orientation val="minMax"/>
          <c:max val="4253"/>
          <c:min val="892"/>
        </c:scaling>
        <c:delete val="0"/>
        <c:axPos val="b"/>
        <c:numFmt formatCode="#,##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4742560"/>
        <c:crosses val="autoZero"/>
        <c:crossBetween val="midCat"/>
        <c:minorUnit val="1"/>
      </c:valAx>
      <c:valAx>
        <c:axId val="734742560"/>
        <c:scaling>
          <c:orientation val="minMax"/>
          <c:max val="424668047"/>
          <c:min val="25568251"/>
        </c:scaling>
        <c:delete val="0"/>
        <c:axPos val="l"/>
        <c:numFmt formatCode="&quot;$&quot;#,##0_);[Red]\(&quot;$&quot;#,##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4742000"/>
        <c:crosses val="autoZero"/>
        <c:crossBetween val="midCat"/>
      </c:valAx>
      <c:spPr>
        <a:noFill/>
        <a:ln w="127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03958880139981"/>
          <c:y val="9.972414677957403E-2"/>
          <c:w val="0.75495341207349076"/>
          <c:h val="0.75249106419434286"/>
        </c:manualLayout>
      </c:layout>
      <c:scatterChart>
        <c:scatterStyle val="lineMarker"/>
        <c:varyColors val="0"/>
        <c:ser>
          <c:idx val="0"/>
          <c:order val="0"/>
          <c:tx>
            <c:strRef>
              <c:f>Charting!$I$2</c:f>
              <c:strCache>
                <c:ptCount val="1"/>
                <c:pt idx="0">
                  <c:v>Total Gross</c:v>
                </c:pt>
              </c:strCache>
            </c:strRef>
          </c:tx>
          <c:spPr>
            <a:ln w="19050" cap="rnd">
              <a:noFill/>
              <a:round/>
            </a:ln>
            <a:effectLst/>
          </c:spPr>
          <c:marker>
            <c:symbol val="circle"/>
            <c:size val="5"/>
            <c:spPr>
              <a:noFill/>
              <a:ln w="9525">
                <a:noFill/>
              </a:ln>
              <a:effectLst/>
            </c:spPr>
          </c:marker>
          <c:xVal>
            <c:numRef>
              <c:f>Charting!$H$3:$H$102</c:f>
              <c:numCache>
                <c:formatCode>#,##0</c:formatCode>
                <c:ptCount val="100"/>
                <c:pt idx="0">
                  <c:v>4163</c:v>
                </c:pt>
                <c:pt idx="1">
                  <c:v>4253</c:v>
                </c:pt>
                <c:pt idx="2">
                  <c:v>3742</c:v>
                </c:pt>
                <c:pt idx="3">
                  <c:v>4003</c:v>
                </c:pt>
                <c:pt idx="4">
                  <c:v>4207</c:v>
                </c:pt>
                <c:pt idx="5">
                  <c:v>3820</c:v>
                </c:pt>
                <c:pt idx="6">
                  <c:v>4004</c:v>
                </c:pt>
                <c:pt idx="7">
                  <c:v>3928</c:v>
                </c:pt>
                <c:pt idx="8">
                  <c:v>3771</c:v>
                </c:pt>
                <c:pt idx="9">
                  <c:v>3912</c:v>
                </c:pt>
                <c:pt idx="10">
                  <c:v>3907</c:v>
                </c:pt>
                <c:pt idx="11">
                  <c:v>3841</c:v>
                </c:pt>
                <c:pt idx="12">
                  <c:v>3607</c:v>
                </c:pt>
                <c:pt idx="13">
                  <c:v>4065</c:v>
                </c:pt>
                <c:pt idx="14">
                  <c:v>3184</c:v>
                </c:pt>
                <c:pt idx="15">
                  <c:v>3445</c:v>
                </c:pt>
                <c:pt idx="16">
                  <c:v>2629</c:v>
                </c:pt>
                <c:pt idx="17">
                  <c:v>3550</c:v>
                </c:pt>
                <c:pt idx="18">
                  <c:v>3115</c:v>
                </c:pt>
                <c:pt idx="19">
                  <c:v>3230</c:v>
                </c:pt>
                <c:pt idx="20">
                  <c:v>3491</c:v>
                </c:pt>
                <c:pt idx="21">
                  <c:v>3924</c:v>
                </c:pt>
                <c:pt idx="22">
                  <c:v>3507</c:v>
                </c:pt>
                <c:pt idx="23">
                  <c:v>3285</c:v>
                </c:pt>
                <c:pt idx="24">
                  <c:v>3734</c:v>
                </c:pt>
                <c:pt idx="25">
                  <c:v>4001</c:v>
                </c:pt>
                <c:pt idx="26">
                  <c:v>3082</c:v>
                </c:pt>
                <c:pt idx="27">
                  <c:v>2557</c:v>
                </c:pt>
                <c:pt idx="28">
                  <c:v>3330</c:v>
                </c:pt>
                <c:pt idx="29">
                  <c:v>3565</c:v>
                </c:pt>
                <c:pt idx="30">
                  <c:v>3894</c:v>
                </c:pt>
                <c:pt idx="31">
                  <c:v>3143</c:v>
                </c:pt>
                <c:pt idx="32">
                  <c:v>3345</c:v>
                </c:pt>
                <c:pt idx="33">
                  <c:v>3285</c:v>
                </c:pt>
                <c:pt idx="34">
                  <c:v>3055</c:v>
                </c:pt>
                <c:pt idx="35">
                  <c:v>3106</c:v>
                </c:pt>
                <c:pt idx="36">
                  <c:v>3405</c:v>
                </c:pt>
                <c:pt idx="37">
                  <c:v>3284</c:v>
                </c:pt>
                <c:pt idx="38">
                  <c:v>3716</c:v>
                </c:pt>
                <c:pt idx="39">
                  <c:v>3904</c:v>
                </c:pt>
                <c:pt idx="40">
                  <c:v>3792</c:v>
                </c:pt>
                <c:pt idx="41">
                  <c:v>3155</c:v>
                </c:pt>
                <c:pt idx="42">
                  <c:v>2671</c:v>
                </c:pt>
                <c:pt idx="43">
                  <c:v>3809</c:v>
                </c:pt>
                <c:pt idx="44">
                  <c:v>3028</c:v>
                </c:pt>
                <c:pt idx="45">
                  <c:v>3222</c:v>
                </c:pt>
                <c:pt idx="46">
                  <c:v>2781</c:v>
                </c:pt>
                <c:pt idx="47">
                  <c:v>3223</c:v>
                </c:pt>
                <c:pt idx="48">
                  <c:v>3867</c:v>
                </c:pt>
                <c:pt idx="49">
                  <c:v>2041</c:v>
                </c:pt>
                <c:pt idx="50">
                  <c:v>3080</c:v>
                </c:pt>
                <c:pt idx="51">
                  <c:v>3555</c:v>
                </c:pt>
                <c:pt idx="52">
                  <c:v>3009</c:v>
                </c:pt>
                <c:pt idx="53">
                  <c:v>3525</c:v>
                </c:pt>
                <c:pt idx="54">
                  <c:v>2591</c:v>
                </c:pt>
                <c:pt idx="55">
                  <c:v>3237</c:v>
                </c:pt>
                <c:pt idx="56">
                  <c:v>3407</c:v>
                </c:pt>
                <c:pt idx="57">
                  <c:v>3290</c:v>
                </c:pt>
                <c:pt idx="58">
                  <c:v>3401</c:v>
                </c:pt>
                <c:pt idx="59">
                  <c:v>2922</c:v>
                </c:pt>
                <c:pt idx="60">
                  <c:v>3353</c:v>
                </c:pt>
                <c:pt idx="61">
                  <c:v>1474</c:v>
                </c:pt>
                <c:pt idx="62">
                  <c:v>3736</c:v>
                </c:pt>
                <c:pt idx="63">
                  <c:v>3375</c:v>
                </c:pt>
                <c:pt idx="64">
                  <c:v>3025</c:v>
                </c:pt>
                <c:pt idx="65">
                  <c:v>3016</c:v>
                </c:pt>
                <c:pt idx="66">
                  <c:v>2194</c:v>
                </c:pt>
                <c:pt idx="67">
                  <c:v>2047</c:v>
                </c:pt>
                <c:pt idx="68">
                  <c:v>2507</c:v>
                </c:pt>
                <c:pt idx="69">
                  <c:v>3303</c:v>
                </c:pt>
                <c:pt idx="70">
                  <c:v>3103</c:v>
                </c:pt>
                <c:pt idx="71">
                  <c:v>2778</c:v>
                </c:pt>
                <c:pt idx="72">
                  <c:v>3399</c:v>
                </c:pt>
                <c:pt idx="73">
                  <c:v>978</c:v>
                </c:pt>
                <c:pt idx="74">
                  <c:v>2511</c:v>
                </c:pt>
                <c:pt idx="75">
                  <c:v>3117</c:v>
                </c:pt>
                <c:pt idx="76">
                  <c:v>2160</c:v>
                </c:pt>
                <c:pt idx="77">
                  <c:v>2690</c:v>
                </c:pt>
                <c:pt idx="78">
                  <c:v>2411</c:v>
                </c:pt>
                <c:pt idx="79">
                  <c:v>1225</c:v>
                </c:pt>
                <c:pt idx="80">
                  <c:v>3091</c:v>
                </c:pt>
                <c:pt idx="81">
                  <c:v>3243</c:v>
                </c:pt>
                <c:pt idx="82">
                  <c:v>3157</c:v>
                </c:pt>
                <c:pt idx="83">
                  <c:v>2659</c:v>
                </c:pt>
                <c:pt idx="84">
                  <c:v>2852</c:v>
                </c:pt>
                <c:pt idx="85">
                  <c:v>1283</c:v>
                </c:pt>
                <c:pt idx="86">
                  <c:v>892</c:v>
                </c:pt>
                <c:pt idx="87">
                  <c:v>2605</c:v>
                </c:pt>
                <c:pt idx="88">
                  <c:v>3402</c:v>
                </c:pt>
                <c:pt idx="89">
                  <c:v>3118</c:v>
                </c:pt>
                <c:pt idx="90">
                  <c:v>3036</c:v>
                </c:pt>
                <c:pt idx="91">
                  <c:v>2856</c:v>
                </c:pt>
                <c:pt idx="92">
                  <c:v>2735</c:v>
                </c:pt>
                <c:pt idx="93">
                  <c:v>2945</c:v>
                </c:pt>
                <c:pt idx="94">
                  <c:v>1110</c:v>
                </c:pt>
                <c:pt idx="95">
                  <c:v>2308</c:v>
                </c:pt>
                <c:pt idx="96">
                  <c:v>3202</c:v>
                </c:pt>
                <c:pt idx="97">
                  <c:v>1553</c:v>
                </c:pt>
                <c:pt idx="98">
                  <c:v>2771</c:v>
                </c:pt>
                <c:pt idx="99">
                  <c:v>1729</c:v>
                </c:pt>
              </c:numCache>
            </c:numRef>
          </c:xVal>
          <c:yVal>
            <c:numRef>
              <c:f>Charting!$I$3:$I$102</c:f>
              <c:numCache>
                <c:formatCode>"$"#,##0_);[Red]\("$"#,##0\)</c:formatCode>
                <c:ptCount val="100"/>
                <c:pt idx="0">
                  <c:v>424668047</c:v>
                </c:pt>
                <c:pt idx="1">
                  <c:v>409013994</c:v>
                </c:pt>
                <c:pt idx="2">
                  <c:v>400738009</c:v>
                </c:pt>
                <c:pt idx="3">
                  <c:v>368061265</c:v>
                </c:pt>
                <c:pt idx="4">
                  <c:v>291045518</c:v>
                </c:pt>
                <c:pt idx="5">
                  <c:v>274092705</c:v>
                </c:pt>
                <c:pt idx="6">
                  <c:v>268492764</c:v>
                </c:pt>
                <c:pt idx="7">
                  <c:v>258366855</c:v>
                </c:pt>
                <c:pt idx="8">
                  <c:v>238679850</c:v>
                </c:pt>
                <c:pt idx="9">
                  <c:v>234911825</c:v>
                </c:pt>
                <c:pt idx="10">
                  <c:v>228778661</c:v>
                </c:pt>
                <c:pt idx="11">
                  <c:v>206362140</c:v>
                </c:pt>
                <c:pt idx="12">
                  <c:v>202359711</c:v>
                </c:pt>
                <c:pt idx="13">
                  <c:v>187168425</c:v>
                </c:pt>
                <c:pt idx="14">
                  <c:v>159582188</c:v>
                </c:pt>
                <c:pt idx="15">
                  <c:v>150394119</c:v>
                </c:pt>
                <c:pt idx="16">
                  <c:v>150117807</c:v>
                </c:pt>
                <c:pt idx="17">
                  <c:v>144840419</c:v>
                </c:pt>
                <c:pt idx="18">
                  <c:v>137400141</c:v>
                </c:pt>
                <c:pt idx="19">
                  <c:v>134506920</c:v>
                </c:pt>
                <c:pt idx="20">
                  <c:v>133668525</c:v>
                </c:pt>
                <c:pt idx="21">
                  <c:v>132556852</c:v>
                </c:pt>
                <c:pt idx="22">
                  <c:v>125168368</c:v>
                </c:pt>
                <c:pt idx="23">
                  <c:v>125095601</c:v>
                </c:pt>
                <c:pt idx="24">
                  <c:v>122523060</c:v>
                </c:pt>
                <c:pt idx="25">
                  <c:v>119793567</c:v>
                </c:pt>
                <c:pt idx="26">
                  <c:v>117723989</c:v>
                </c:pt>
                <c:pt idx="27">
                  <c:v>116900694</c:v>
                </c:pt>
                <c:pt idx="28">
                  <c:v>116632095</c:v>
                </c:pt>
                <c:pt idx="29">
                  <c:v>112200072</c:v>
                </c:pt>
                <c:pt idx="30">
                  <c:v>107518682</c:v>
                </c:pt>
                <c:pt idx="31">
                  <c:v>107100855</c:v>
                </c:pt>
                <c:pt idx="32">
                  <c:v>102003019</c:v>
                </c:pt>
                <c:pt idx="33">
                  <c:v>101802906</c:v>
                </c:pt>
                <c:pt idx="34">
                  <c:v>101470202</c:v>
                </c:pt>
                <c:pt idx="35">
                  <c:v>98925640</c:v>
                </c:pt>
                <c:pt idx="36">
                  <c:v>95020213</c:v>
                </c:pt>
                <c:pt idx="37">
                  <c:v>93050117</c:v>
                </c:pt>
                <c:pt idx="38">
                  <c:v>90288712</c:v>
                </c:pt>
                <c:pt idx="39">
                  <c:v>89302115</c:v>
                </c:pt>
                <c:pt idx="40">
                  <c:v>89107235</c:v>
                </c:pt>
                <c:pt idx="41">
                  <c:v>83586447</c:v>
                </c:pt>
                <c:pt idx="42">
                  <c:v>83301580</c:v>
                </c:pt>
                <c:pt idx="43">
                  <c:v>83028128</c:v>
                </c:pt>
                <c:pt idx="44">
                  <c:v>75612460</c:v>
                </c:pt>
                <c:pt idx="45">
                  <c:v>73103784</c:v>
                </c:pt>
                <c:pt idx="46">
                  <c:v>71628180</c:v>
                </c:pt>
                <c:pt idx="47">
                  <c:v>71349120</c:v>
                </c:pt>
                <c:pt idx="48">
                  <c:v>71017784</c:v>
                </c:pt>
                <c:pt idx="49">
                  <c:v>70525195</c:v>
                </c:pt>
                <c:pt idx="50">
                  <c:v>68559554</c:v>
                </c:pt>
                <c:pt idx="51">
                  <c:v>67349198</c:v>
                </c:pt>
                <c:pt idx="52">
                  <c:v>66380662</c:v>
                </c:pt>
                <c:pt idx="53">
                  <c:v>65187603</c:v>
                </c:pt>
                <c:pt idx="54">
                  <c:v>64473115</c:v>
                </c:pt>
                <c:pt idx="55">
                  <c:v>63914167</c:v>
                </c:pt>
                <c:pt idx="56">
                  <c:v>61737191</c:v>
                </c:pt>
                <c:pt idx="57">
                  <c:v>61002302</c:v>
                </c:pt>
                <c:pt idx="58">
                  <c:v>60522097</c:v>
                </c:pt>
                <c:pt idx="59">
                  <c:v>58236838</c:v>
                </c:pt>
                <c:pt idx="60">
                  <c:v>57012977</c:v>
                </c:pt>
                <c:pt idx="61">
                  <c:v>56671993</c:v>
                </c:pt>
                <c:pt idx="62">
                  <c:v>55750480</c:v>
                </c:pt>
                <c:pt idx="63">
                  <c:v>55703475</c:v>
                </c:pt>
                <c:pt idx="64">
                  <c:v>54239856</c:v>
                </c:pt>
                <c:pt idx="65">
                  <c:v>53262560</c:v>
                </c:pt>
                <c:pt idx="66">
                  <c:v>52543354</c:v>
                </c:pt>
                <c:pt idx="67">
                  <c:v>51975354</c:v>
                </c:pt>
                <c:pt idx="68">
                  <c:v>51872378</c:v>
                </c:pt>
                <c:pt idx="69">
                  <c:v>49875291</c:v>
                </c:pt>
                <c:pt idx="70">
                  <c:v>46000903</c:v>
                </c:pt>
                <c:pt idx="71">
                  <c:v>45385935</c:v>
                </c:pt>
                <c:pt idx="72">
                  <c:v>44672764</c:v>
                </c:pt>
                <c:pt idx="73">
                  <c:v>44467206</c:v>
                </c:pt>
                <c:pt idx="74">
                  <c:v>42930462</c:v>
                </c:pt>
                <c:pt idx="75">
                  <c:v>42025135</c:v>
                </c:pt>
                <c:pt idx="76">
                  <c:v>40041683</c:v>
                </c:pt>
                <c:pt idx="77">
                  <c:v>38362475</c:v>
                </c:pt>
                <c:pt idx="78">
                  <c:v>37738810</c:v>
                </c:pt>
                <c:pt idx="79">
                  <c:v>37709979</c:v>
                </c:pt>
                <c:pt idx="80">
                  <c:v>36918811</c:v>
                </c:pt>
                <c:pt idx="81">
                  <c:v>36076121</c:v>
                </c:pt>
                <c:pt idx="82">
                  <c:v>35266619</c:v>
                </c:pt>
                <c:pt idx="83">
                  <c:v>34341945</c:v>
                </c:pt>
                <c:pt idx="84">
                  <c:v>33618855</c:v>
                </c:pt>
                <c:pt idx="85">
                  <c:v>33405481</c:v>
                </c:pt>
                <c:pt idx="86">
                  <c:v>32244051</c:v>
                </c:pt>
                <c:pt idx="87">
                  <c:v>32172757</c:v>
                </c:pt>
                <c:pt idx="88">
                  <c:v>32015787</c:v>
                </c:pt>
                <c:pt idx="89">
                  <c:v>31165421</c:v>
                </c:pt>
                <c:pt idx="90">
                  <c:v>30664106</c:v>
                </c:pt>
                <c:pt idx="91">
                  <c:v>29807260</c:v>
                </c:pt>
                <c:pt idx="92">
                  <c:v>28873374</c:v>
                </c:pt>
                <c:pt idx="93">
                  <c:v>28795985</c:v>
                </c:pt>
                <c:pt idx="94">
                  <c:v>27298285</c:v>
                </c:pt>
                <c:pt idx="95">
                  <c:v>26947624</c:v>
                </c:pt>
                <c:pt idx="96">
                  <c:v>26627201</c:v>
                </c:pt>
                <c:pt idx="97">
                  <c:v>26004851</c:v>
                </c:pt>
                <c:pt idx="98">
                  <c:v>25682380</c:v>
                </c:pt>
                <c:pt idx="99">
                  <c:v>25568251</c:v>
                </c:pt>
              </c:numCache>
            </c:numRef>
          </c:yVal>
          <c:smooth val="0"/>
        </c:ser>
        <c:ser>
          <c:idx val="1"/>
          <c:order val="1"/>
          <c:tx>
            <c:strRef>
              <c:f>Charting!$J$2</c:f>
              <c:strCache>
                <c:ptCount val="1"/>
              </c:strCache>
            </c:strRef>
          </c:tx>
          <c:spPr>
            <a:ln w="19050" cap="rnd">
              <a:noFill/>
              <a:round/>
            </a:ln>
            <a:effectLst/>
          </c:spPr>
          <c:marker>
            <c:symbol val="plus"/>
            <c:size val="8"/>
            <c:spPr>
              <a:noFill/>
              <a:ln w="6350">
                <a:solidFill>
                  <a:schemeClr val="tx1">
                    <a:alpha val="23000"/>
                  </a:schemeClr>
                </a:solidFill>
              </a:ln>
              <a:effectLst/>
            </c:spPr>
          </c:marker>
          <c:xVal>
            <c:numRef>
              <c:f>Charting!$H$3:$H$102</c:f>
              <c:numCache>
                <c:formatCode>#,##0</c:formatCode>
                <c:ptCount val="100"/>
                <c:pt idx="0">
                  <c:v>4163</c:v>
                </c:pt>
                <c:pt idx="1">
                  <c:v>4253</c:v>
                </c:pt>
                <c:pt idx="2">
                  <c:v>3742</c:v>
                </c:pt>
                <c:pt idx="3">
                  <c:v>4003</c:v>
                </c:pt>
                <c:pt idx="4">
                  <c:v>4207</c:v>
                </c:pt>
                <c:pt idx="5">
                  <c:v>3820</c:v>
                </c:pt>
                <c:pt idx="6">
                  <c:v>4004</c:v>
                </c:pt>
                <c:pt idx="7">
                  <c:v>3928</c:v>
                </c:pt>
                <c:pt idx="8">
                  <c:v>3771</c:v>
                </c:pt>
                <c:pt idx="9">
                  <c:v>3912</c:v>
                </c:pt>
                <c:pt idx="10">
                  <c:v>3907</c:v>
                </c:pt>
                <c:pt idx="11">
                  <c:v>3841</c:v>
                </c:pt>
                <c:pt idx="12">
                  <c:v>3607</c:v>
                </c:pt>
                <c:pt idx="13">
                  <c:v>4065</c:v>
                </c:pt>
                <c:pt idx="14">
                  <c:v>3184</c:v>
                </c:pt>
                <c:pt idx="15">
                  <c:v>3445</c:v>
                </c:pt>
                <c:pt idx="16">
                  <c:v>2629</c:v>
                </c:pt>
                <c:pt idx="17">
                  <c:v>3550</c:v>
                </c:pt>
                <c:pt idx="18">
                  <c:v>3115</c:v>
                </c:pt>
                <c:pt idx="19">
                  <c:v>3230</c:v>
                </c:pt>
                <c:pt idx="20">
                  <c:v>3491</c:v>
                </c:pt>
                <c:pt idx="21">
                  <c:v>3924</c:v>
                </c:pt>
                <c:pt idx="22">
                  <c:v>3507</c:v>
                </c:pt>
                <c:pt idx="23">
                  <c:v>3285</c:v>
                </c:pt>
                <c:pt idx="24">
                  <c:v>3734</c:v>
                </c:pt>
                <c:pt idx="25">
                  <c:v>4001</c:v>
                </c:pt>
                <c:pt idx="26">
                  <c:v>3082</c:v>
                </c:pt>
                <c:pt idx="27">
                  <c:v>2557</c:v>
                </c:pt>
                <c:pt idx="28">
                  <c:v>3330</c:v>
                </c:pt>
                <c:pt idx="29">
                  <c:v>3565</c:v>
                </c:pt>
                <c:pt idx="30">
                  <c:v>3894</c:v>
                </c:pt>
                <c:pt idx="31">
                  <c:v>3143</c:v>
                </c:pt>
                <c:pt idx="32">
                  <c:v>3345</c:v>
                </c:pt>
                <c:pt idx="33">
                  <c:v>3285</c:v>
                </c:pt>
                <c:pt idx="34">
                  <c:v>3055</c:v>
                </c:pt>
                <c:pt idx="35">
                  <c:v>3106</c:v>
                </c:pt>
                <c:pt idx="36">
                  <c:v>3405</c:v>
                </c:pt>
                <c:pt idx="37">
                  <c:v>3284</c:v>
                </c:pt>
                <c:pt idx="38">
                  <c:v>3716</c:v>
                </c:pt>
                <c:pt idx="39">
                  <c:v>3904</c:v>
                </c:pt>
                <c:pt idx="40">
                  <c:v>3792</c:v>
                </c:pt>
                <c:pt idx="41">
                  <c:v>3155</c:v>
                </c:pt>
                <c:pt idx="42">
                  <c:v>2671</c:v>
                </c:pt>
                <c:pt idx="43">
                  <c:v>3809</c:v>
                </c:pt>
                <c:pt idx="44">
                  <c:v>3028</c:v>
                </c:pt>
                <c:pt idx="45">
                  <c:v>3222</c:v>
                </c:pt>
                <c:pt idx="46">
                  <c:v>2781</c:v>
                </c:pt>
                <c:pt idx="47">
                  <c:v>3223</c:v>
                </c:pt>
                <c:pt idx="48">
                  <c:v>3867</c:v>
                </c:pt>
                <c:pt idx="49">
                  <c:v>2041</c:v>
                </c:pt>
                <c:pt idx="50">
                  <c:v>3080</c:v>
                </c:pt>
                <c:pt idx="51">
                  <c:v>3555</c:v>
                </c:pt>
                <c:pt idx="52">
                  <c:v>3009</c:v>
                </c:pt>
                <c:pt idx="53">
                  <c:v>3525</c:v>
                </c:pt>
                <c:pt idx="54">
                  <c:v>2591</c:v>
                </c:pt>
                <c:pt idx="55">
                  <c:v>3237</c:v>
                </c:pt>
                <c:pt idx="56">
                  <c:v>3407</c:v>
                </c:pt>
                <c:pt idx="57">
                  <c:v>3290</c:v>
                </c:pt>
                <c:pt idx="58">
                  <c:v>3401</c:v>
                </c:pt>
                <c:pt idx="59">
                  <c:v>2922</c:v>
                </c:pt>
                <c:pt idx="60">
                  <c:v>3353</c:v>
                </c:pt>
                <c:pt idx="61">
                  <c:v>1474</c:v>
                </c:pt>
                <c:pt idx="62">
                  <c:v>3736</c:v>
                </c:pt>
                <c:pt idx="63">
                  <c:v>3375</c:v>
                </c:pt>
                <c:pt idx="64">
                  <c:v>3025</c:v>
                </c:pt>
                <c:pt idx="65">
                  <c:v>3016</c:v>
                </c:pt>
                <c:pt idx="66">
                  <c:v>2194</c:v>
                </c:pt>
                <c:pt idx="67">
                  <c:v>2047</c:v>
                </c:pt>
                <c:pt idx="68">
                  <c:v>2507</c:v>
                </c:pt>
                <c:pt idx="69">
                  <c:v>3303</c:v>
                </c:pt>
                <c:pt idx="70">
                  <c:v>3103</c:v>
                </c:pt>
                <c:pt idx="71">
                  <c:v>2778</c:v>
                </c:pt>
                <c:pt idx="72">
                  <c:v>3399</c:v>
                </c:pt>
                <c:pt idx="73">
                  <c:v>978</c:v>
                </c:pt>
                <c:pt idx="74">
                  <c:v>2511</c:v>
                </c:pt>
                <c:pt idx="75">
                  <c:v>3117</c:v>
                </c:pt>
                <c:pt idx="76">
                  <c:v>2160</c:v>
                </c:pt>
                <c:pt idx="77">
                  <c:v>2690</c:v>
                </c:pt>
                <c:pt idx="78">
                  <c:v>2411</c:v>
                </c:pt>
                <c:pt idx="79">
                  <c:v>1225</c:v>
                </c:pt>
                <c:pt idx="80">
                  <c:v>3091</c:v>
                </c:pt>
                <c:pt idx="81">
                  <c:v>3243</c:v>
                </c:pt>
                <c:pt idx="82">
                  <c:v>3157</c:v>
                </c:pt>
                <c:pt idx="83">
                  <c:v>2659</c:v>
                </c:pt>
                <c:pt idx="84">
                  <c:v>2852</c:v>
                </c:pt>
                <c:pt idx="85">
                  <c:v>1283</c:v>
                </c:pt>
                <c:pt idx="86">
                  <c:v>892</c:v>
                </c:pt>
                <c:pt idx="87">
                  <c:v>2605</c:v>
                </c:pt>
                <c:pt idx="88">
                  <c:v>3402</c:v>
                </c:pt>
                <c:pt idx="89">
                  <c:v>3118</c:v>
                </c:pt>
                <c:pt idx="90">
                  <c:v>3036</c:v>
                </c:pt>
                <c:pt idx="91">
                  <c:v>2856</c:v>
                </c:pt>
                <c:pt idx="92">
                  <c:v>2735</c:v>
                </c:pt>
                <c:pt idx="93">
                  <c:v>2945</c:v>
                </c:pt>
                <c:pt idx="94">
                  <c:v>1110</c:v>
                </c:pt>
                <c:pt idx="95">
                  <c:v>2308</c:v>
                </c:pt>
                <c:pt idx="96">
                  <c:v>3202</c:v>
                </c:pt>
                <c:pt idx="97">
                  <c:v>1553</c:v>
                </c:pt>
                <c:pt idx="98">
                  <c:v>2771</c:v>
                </c:pt>
                <c:pt idx="99">
                  <c:v>1729</c:v>
                </c:pt>
              </c:numCache>
            </c:numRef>
          </c:xVal>
          <c:yVal>
            <c:numRef>
              <c:f>Charting!$J$3:$J$102</c:f>
              <c:numCache>
                <c:formatCode>;;;</c:formatCode>
                <c:ptCount val="100"/>
                <c:pt idx="0">
                  <c:v>25568251</c:v>
                </c:pt>
                <c:pt idx="1">
                  <c:v>25568251</c:v>
                </c:pt>
                <c:pt idx="2">
                  <c:v>25568251</c:v>
                </c:pt>
                <c:pt idx="3">
                  <c:v>25568251</c:v>
                </c:pt>
                <c:pt idx="4">
                  <c:v>25568251</c:v>
                </c:pt>
                <c:pt idx="5">
                  <c:v>25568251</c:v>
                </c:pt>
                <c:pt idx="6">
                  <c:v>25568251</c:v>
                </c:pt>
                <c:pt idx="7">
                  <c:v>25568251</c:v>
                </c:pt>
                <c:pt idx="8">
                  <c:v>25568251</c:v>
                </c:pt>
                <c:pt idx="9">
                  <c:v>25568251</c:v>
                </c:pt>
                <c:pt idx="10">
                  <c:v>25568251</c:v>
                </c:pt>
                <c:pt idx="11">
                  <c:v>25568251</c:v>
                </c:pt>
                <c:pt idx="12">
                  <c:v>25568251</c:v>
                </c:pt>
                <c:pt idx="13">
                  <c:v>25568251</c:v>
                </c:pt>
                <c:pt idx="14">
                  <c:v>25568251</c:v>
                </c:pt>
                <c:pt idx="15">
                  <c:v>25568251</c:v>
                </c:pt>
                <c:pt idx="16">
                  <c:v>25568251</c:v>
                </c:pt>
                <c:pt idx="17">
                  <c:v>25568251</c:v>
                </c:pt>
                <c:pt idx="18">
                  <c:v>25568251</c:v>
                </c:pt>
                <c:pt idx="19">
                  <c:v>25568251</c:v>
                </c:pt>
                <c:pt idx="20">
                  <c:v>25568251</c:v>
                </c:pt>
                <c:pt idx="21">
                  <c:v>25568251</c:v>
                </c:pt>
                <c:pt idx="22">
                  <c:v>25568251</c:v>
                </c:pt>
                <c:pt idx="23">
                  <c:v>25568251</c:v>
                </c:pt>
                <c:pt idx="24">
                  <c:v>25568251</c:v>
                </c:pt>
                <c:pt idx="25">
                  <c:v>25568251</c:v>
                </c:pt>
                <c:pt idx="26">
                  <c:v>25568251</c:v>
                </c:pt>
                <c:pt idx="27">
                  <c:v>25568251</c:v>
                </c:pt>
                <c:pt idx="28">
                  <c:v>25568251</c:v>
                </c:pt>
                <c:pt idx="29">
                  <c:v>25568251</c:v>
                </c:pt>
                <c:pt idx="30">
                  <c:v>25568251</c:v>
                </c:pt>
                <c:pt idx="31">
                  <c:v>25568251</c:v>
                </c:pt>
                <c:pt idx="32">
                  <c:v>25568251</c:v>
                </c:pt>
                <c:pt idx="33">
                  <c:v>25568251</c:v>
                </c:pt>
                <c:pt idx="34">
                  <c:v>25568251</c:v>
                </c:pt>
                <c:pt idx="35">
                  <c:v>25568251</c:v>
                </c:pt>
                <c:pt idx="36">
                  <c:v>25568251</c:v>
                </c:pt>
                <c:pt idx="37">
                  <c:v>25568251</c:v>
                </c:pt>
                <c:pt idx="38">
                  <c:v>25568251</c:v>
                </c:pt>
                <c:pt idx="39">
                  <c:v>25568251</c:v>
                </c:pt>
                <c:pt idx="40">
                  <c:v>25568251</c:v>
                </c:pt>
                <c:pt idx="41">
                  <c:v>25568251</c:v>
                </c:pt>
                <c:pt idx="42">
                  <c:v>25568251</c:v>
                </c:pt>
                <c:pt idx="43">
                  <c:v>25568251</c:v>
                </c:pt>
                <c:pt idx="44">
                  <c:v>25568251</c:v>
                </c:pt>
                <c:pt idx="45">
                  <c:v>25568251</c:v>
                </c:pt>
                <c:pt idx="46">
                  <c:v>25568251</c:v>
                </c:pt>
                <c:pt idx="47">
                  <c:v>25568251</c:v>
                </c:pt>
                <c:pt idx="48">
                  <c:v>25568251</c:v>
                </c:pt>
                <c:pt idx="49">
                  <c:v>25568251</c:v>
                </c:pt>
                <c:pt idx="50">
                  <c:v>25568251</c:v>
                </c:pt>
                <c:pt idx="51">
                  <c:v>25568251</c:v>
                </c:pt>
                <c:pt idx="52">
                  <c:v>25568251</c:v>
                </c:pt>
                <c:pt idx="53">
                  <c:v>25568251</c:v>
                </c:pt>
                <c:pt idx="54">
                  <c:v>25568251</c:v>
                </c:pt>
                <c:pt idx="55">
                  <c:v>25568251</c:v>
                </c:pt>
                <c:pt idx="56">
                  <c:v>25568251</c:v>
                </c:pt>
                <c:pt idx="57">
                  <c:v>25568251</c:v>
                </c:pt>
                <c:pt idx="58">
                  <c:v>25568251</c:v>
                </c:pt>
                <c:pt idx="59">
                  <c:v>25568251</c:v>
                </c:pt>
                <c:pt idx="60">
                  <c:v>25568251</c:v>
                </c:pt>
                <c:pt idx="61">
                  <c:v>25568251</c:v>
                </c:pt>
                <c:pt idx="62">
                  <c:v>25568251</c:v>
                </c:pt>
                <c:pt idx="63">
                  <c:v>25568251</c:v>
                </c:pt>
                <c:pt idx="64">
                  <c:v>25568251</c:v>
                </c:pt>
                <c:pt idx="65">
                  <c:v>25568251</c:v>
                </c:pt>
                <c:pt idx="66">
                  <c:v>25568251</c:v>
                </c:pt>
                <c:pt idx="67">
                  <c:v>25568251</c:v>
                </c:pt>
                <c:pt idx="68">
                  <c:v>25568251</c:v>
                </c:pt>
                <c:pt idx="69">
                  <c:v>25568251</c:v>
                </c:pt>
                <c:pt idx="70">
                  <c:v>25568251</c:v>
                </c:pt>
                <c:pt idx="71">
                  <c:v>25568251</c:v>
                </c:pt>
                <c:pt idx="72">
                  <c:v>25568251</c:v>
                </c:pt>
                <c:pt idx="73">
                  <c:v>25568251</c:v>
                </c:pt>
                <c:pt idx="74">
                  <c:v>25568251</c:v>
                </c:pt>
                <c:pt idx="75">
                  <c:v>25568251</c:v>
                </c:pt>
                <c:pt idx="76">
                  <c:v>25568251</c:v>
                </c:pt>
                <c:pt idx="77">
                  <c:v>25568251</c:v>
                </c:pt>
                <c:pt idx="78">
                  <c:v>25568251</c:v>
                </c:pt>
                <c:pt idx="79">
                  <c:v>25568251</c:v>
                </c:pt>
                <c:pt idx="80">
                  <c:v>25568251</c:v>
                </c:pt>
                <c:pt idx="81">
                  <c:v>25568251</c:v>
                </c:pt>
                <c:pt idx="82">
                  <c:v>25568251</c:v>
                </c:pt>
                <c:pt idx="83">
                  <c:v>25568251</c:v>
                </c:pt>
                <c:pt idx="84">
                  <c:v>25568251</c:v>
                </c:pt>
                <c:pt idx="85">
                  <c:v>25568251</c:v>
                </c:pt>
                <c:pt idx="86">
                  <c:v>25568251</c:v>
                </c:pt>
                <c:pt idx="87">
                  <c:v>25568251</c:v>
                </c:pt>
                <c:pt idx="88">
                  <c:v>25568251</c:v>
                </c:pt>
                <c:pt idx="89">
                  <c:v>25568251</c:v>
                </c:pt>
                <c:pt idx="90">
                  <c:v>25568251</c:v>
                </c:pt>
                <c:pt idx="91">
                  <c:v>25568251</c:v>
                </c:pt>
                <c:pt idx="92">
                  <c:v>25568251</c:v>
                </c:pt>
                <c:pt idx="93">
                  <c:v>25568251</c:v>
                </c:pt>
                <c:pt idx="94">
                  <c:v>25568251</c:v>
                </c:pt>
                <c:pt idx="95">
                  <c:v>25568251</c:v>
                </c:pt>
                <c:pt idx="96">
                  <c:v>25568251</c:v>
                </c:pt>
                <c:pt idx="97">
                  <c:v>25568251</c:v>
                </c:pt>
                <c:pt idx="98">
                  <c:v>25568251</c:v>
                </c:pt>
                <c:pt idx="99">
                  <c:v>25568251</c:v>
                </c:pt>
              </c:numCache>
            </c:numRef>
          </c:yVal>
          <c:smooth val="0"/>
        </c:ser>
        <c:dLbls>
          <c:showLegendKey val="0"/>
          <c:showVal val="0"/>
          <c:showCatName val="0"/>
          <c:showSerName val="0"/>
          <c:showPercent val="0"/>
          <c:showBubbleSize val="0"/>
        </c:dLbls>
        <c:axId val="734745360"/>
        <c:axId val="734745920"/>
      </c:scatterChart>
      <c:valAx>
        <c:axId val="734745360"/>
        <c:scaling>
          <c:orientation val="minMax"/>
          <c:max val="4253"/>
          <c:min val="892"/>
        </c:scaling>
        <c:delete val="0"/>
        <c:axPos val="b"/>
        <c:numFmt formatCode="#,##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4745920"/>
        <c:crosses val="autoZero"/>
        <c:crossBetween val="midCat"/>
      </c:valAx>
      <c:valAx>
        <c:axId val="734745920"/>
        <c:scaling>
          <c:orientation val="minMax"/>
          <c:max val="424668047"/>
          <c:min val="25568251"/>
        </c:scaling>
        <c:delete val="0"/>
        <c:axPos val="l"/>
        <c:numFmt formatCode="&quot;$&quot;#,##0_);[Red]\(&quot;$&quot;#,##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4745360"/>
        <c:crosses val="autoZero"/>
        <c:crossBetween val="midCat"/>
      </c:valAx>
      <c:spPr>
        <a:noFill/>
        <a:ln w="127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noFill/>
              <a:latin typeface="+mn-lt"/>
              <a:ea typeface="+mn-ea"/>
              <a:cs typeface="+mn-cs"/>
            </a:defRPr>
          </a:pPr>
          <a:endParaRPr lang="en-US"/>
        </a:p>
      </c:txPr>
    </c:title>
    <c:autoTitleDeleted val="0"/>
    <c:plotArea>
      <c:layout>
        <c:manualLayout>
          <c:layoutTarget val="inner"/>
          <c:xMode val="edge"/>
          <c:yMode val="edge"/>
          <c:x val="0.15524759405074365"/>
          <c:y val="0.16387605850654349"/>
          <c:w val="0.77059973753280853"/>
          <c:h val="0.76171328035496721"/>
        </c:manualLayout>
      </c:layout>
      <c:scatterChart>
        <c:scatterStyle val="lineMarker"/>
        <c:varyColors val="0"/>
        <c:ser>
          <c:idx val="0"/>
          <c:order val="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noFill/>
                  </a14:hiddenFill>
                </a:ext>
              </a:extLst>
            </c:spPr>
          </c:marker>
          <c:yVal>
            <c:numRef>
              <c:f>Charting!$H$2:$K$2</c:f>
              <c:numCache>
                <c:formatCode>General</c:formatCode>
                <c:ptCount val="4"/>
                <c:pt idx="0">
                  <c:v>0</c:v>
                </c:pt>
                <c:pt idx="1">
                  <c:v>0</c:v>
                </c:pt>
              </c:numCache>
            </c:numRef>
          </c:yVal>
          <c:smooth val="0"/>
        </c:ser>
        <c:ser>
          <c:idx val="1"/>
          <c:order val="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solidFill>
                  </a14:hiddenFill>
                </a:ext>
              </a:extLst>
            </c:spPr>
          </c:marker>
          <c:yVal>
            <c:numRef>
              <c:f>Charting!$H$3:$K$3</c:f>
              <c:numCache>
                <c:formatCode>"$"#,##0_);[Red]\("$"#,##0\)</c:formatCode>
                <c:ptCount val="4"/>
                <c:pt idx="0" formatCode="#,##0">
                  <c:v>4163</c:v>
                </c:pt>
                <c:pt idx="1">
                  <c:v>424668047</c:v>
                </c:pt>
                <c:pt idx="2" formatCode=";;;">
                  <c:v>25568251</c:v>
                </c:pt>
                <c:pt idx="3" formatCode=";;;">
                  <c:v>892</c:v>
                </c:pt>
              </c:numCache>
            </c:numRef>
          </c:yVal>
          <c:smooth val="0"/>
        </c:ser>
        <c:ser>
          <c:idx val="2"/>
          <c:order val="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solidFill>
                  </a14:hiddenFill>
                </a:ext>
              </a:extLst>
            </c:spPr>
          </c:marker>
          <c:yVal>
            <c:numRef>
              <c:f>Charting!$H$4:$K$4</c:f>
              <c:numCache>
                <c:formatCode>"$"#,##0_);[Red]\("$"#,##0\)</c:formatCode>
                <c:ptCount val="4"/>
                <c:pt idx="0" formatCode="#,##0">
                  <c:v>4253</c:v>
                </c:pt>
                <c:pt idx="1">
                  <c:v>409013994</c:v>
                </c:pt>
                <c:pt idx="2" formatCode=";;;">
                  <c:v>25568251</c:v>
                </c:pt>
                <c:pt idx="3" formatCode=";;;">
                  <c:v>892</c:v>
                </c:pt>
              </c:numCache>
            </c:numRef>
          </c:yVal>
          <c:smooth val="0"/>
        </c:ser>
        <c:ser>
          <c:idx val="3"/>
          <c:order val="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solidFill>
                  </a14:hiddenFill>
                </a:ext>
              </a:extLst>
            </c:spPr>
          </c:marker>
          <c:yVal>
            <c:numRef>
              <c:f>Charting!$H$5:$K$5</c:f>
              <c:numCache>
                <c:formatCode>"$"#,##0_);[Red]\("$"#,##0\)</c:formatCode>
                <c:ptCount val="4"/>
                <c:pt idx="0" formatCode="#,##0">
                  <c:v>3742</c:v>
                </c:pt>
                <c:pt idx="1">
                  <c:v>400738009</c:v>
                </c:pt>
                <c:pt idx="2" formatCode=";;;">
                  <c:v>25568251</c:v>
                </c:pt>
                <c:pt idx="3" formatCode=";;;">
                  <c:v>892</c:v>
                </c:pt>
              </c:numCache>
            </c:numRef>
          </c:yVal>
          <c:smooth val="0"/>
        </c:ser>
        <c:ser>
          <c:idx val="4"/>
          <c:order val="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yVal>
            <c:numRef>
              <c:f>Charting!$H$6:$K$6</c:f>
              <c:numCache>
                <c:formatCode>"$"#,##0_);[Red]\("$"#,##0\)</c:formatCode>
                <c:ptCount val="4"/>
                <c:pt idx="0" formatCode="#,##0">
                  <c:v>4003</c:v>
                </c:pt>
                <c:pt idx="1">
                  <c:v>368061265</c:v>
                </c:pt>
                <c:pt idx="2" formatCode=";;;">
                  <c:v>25568251</c:v>
                </c:pt>
                <c:pt idx="3" formatCode=";;;">
                  <c:v>892</c:v>
                </c:pt>
              </c:numCache>
            </c:numRef>
          </c:yVal>
          <c:smooth val="0"/>
        </c:ser>
        <c:ser>
          <c:idx val="5"/>
          <c:order val="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solidFill>
                  </a14:hiddenFill>
                </a:ext>
              </a:extLst>
            </c:spPr>
          </c:marker>
          <c:yVal>
            <c:numRef>
              <c:f>Charting!$H$7:$K$7</c:f>
              <c:numCache>
                <c:formatCode>"$"#,##0_);[Red]\("$"#,##0\)</c:formatCode>
                <c:ptCount val="4"/>
                <c:pt idx="0" formatCode="#,##0">
                  <c:v>4207</c:v>
                </c:pt>
                <c:pt idx="1">
                  <c:v>291045518</c:v>
                </c:pt>
                <c:pt idx="2" formatCode=";;;">
                  <c:v>25568251</c:v>
                </c:pt>
                <c:pt idx="3" formatCode=";;;">
                  <c:v>892</c:v>
                </c:pt>
              </c:numCache>
            </c:numRef>
          </c:yVal>
          <c:smooth val="0"/>
        </c:ser>
        <c:ser>
          <c:idx val="6"/>
          <c:order val="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60000"/>
                      </a:srgbClr>
                    </a:solidFill>
                  </a14:hiddenFill>
                </a:ext>
              </a:extLst>
            </c:spPr>
          </c:marker>
          <c:yVal>
            <c:numRef>
              <c:f>Charting!$H$8:$K$8</c:f>
              <c:numCache>
                <c:formatCode>"$"#,##0_);[Red]\("$"#,##0\)</c:formatCode>
                <c:ptCount val="4"/>
                <c:pt idx="0" formatCode="#,##0">
                  <c:v>3820</c:v>
                </c:pt>
                <c:pt idx="1">
                  <c:v>274092705</c:v>
                </c:pt>
                <c:pt idx="2" formatCode=";;;">
                  <c:v>25568251</c:v>
                </c:pt>
                <c:pt idx="3" formatCode=";;;">
                  <c:v>892</c:v>
                </c:pt>
              </c:numCache>
            </c:numRef>
          </c:yVal>
          <c:smooth val="0"/>
        </c:ser>
        <c:ser>
          <c:idx val="7"/>
          <c:order val="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60000"/>
                      </a:srgbClr>
                    </a:solidFill>
                  </a14:hiddenFill>
                </a:ext>
              </a:extLst>
            </c:spPr>
          </c:marker>
          <c:yVal>
            <c:numRef>
              <c:f>Charting!$H$9:$K$9</c:f>
              <c:numCache>
                <c:formatCode>"$"#,##0_);[Red]\("$"#,##0\)</c:formatCode>
                <c:ptCount val="4"/>
                <c:pt idx="0" formatCode="#,##0">
                  <c:v>4004</c:v>
                </c:pt>
                <c:pt idx="1">
                  <c:v>268492764</c:v>
                </c:pt>
                <c:pt idx="2" formatCode=";;;">
                  <c:v>25568251</c:v>
                </c:pt>
                <c:pt idx="3" formatCode=";;;">
                  <c:v>892</c:v>
                </c:pt>
              </c:numCache>
            </c:numRef>
          </c:yVal>
          <c:smooth val="0"/>
        </c:ser>
        <c:ser>
          <c:idx val="8"/>
          <c:order val="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60000"/>
                      </a:srgbClr>
                    </a:solidFill>
                  </a14:hiddenFill>
                </a:ext>
              </a:extLst>
            </c:spPr>
          </c:marker>
          <c:yVal>
            <c:numRef>
              <c:f>Charting!$H$10:$K$10</c:f>
              <c:numCache>
                <c:formatCode>"$"#,##0_);[Red]\("$"#,##0\)</c:formatCode>
                <c:ptCount val="4"/>
                <c:pt idx="0" formatCode="#,##0">
                  <c:v>3928</c:v>
                </c:pt>
                <c:pt idx="1">
                  <c:v>258366855</c:v>
                </c:pt>
                <c:pt idx="2" formatCode=";;;">
                  <c:v>25568251</c:v>
                </c:pt>
                <c:pt idx="3" formatCode=";;;">
                  <c:v>892</c:v>
                </c:pt>
              </c:numCache>
            </c:numRef>
          </c:yVal>
          <c:smooth val="0"/>
        </c:ser>
        <c:ser>
          <c:idx val="9"/>
          <c:order val="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60000"/>
                      </a:srgbClr>
                    </a:solidFill>
                  </a14:hiddenFill>
                </a:ext>
              </a:extLst>
            </c:spPr>
          </c:marker>
          <c:yVal>
            <c:numRef>
              <c:f>Charting!$H$11:$K$11</c:f>
              <c:numCache>
                <c:formatCode>"$"#,##0_);[Red]\("$"#,##0\)</c:formatCode>
                <c:ptCount val="4"/>
                <c:pt idx="0" formatCode="#,##0">
                  <c:v>3771</c:v>
                </c:pt>
                <c:pt idx="1">
                  <c:v>238679850</c:v>
                </c:pt>
                <c:pt idx="2" formatCode=";;;">
                  <c:v>25568251</c:v>
                </c:pt>
                <c:pt idx="3" formatCode=";;;">
                  <c:v>892</c:v>
                </c:pt>
              </c:numCache>
            </c:numRef>
          </c:yVal>
          <c:smooth val="0"/>
        </c:ser>
        <c:ser>
          <c:idx val="10"/>
          <c:order val="1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60000"/>
                      </a:srgbClr>
                    </a:solidFill>
                  </a14:hiddenFill>
                </a:ext>
              </a:extLst>
            </c:spPr>
          </c:marker>
          <c:yVal>
            <c:numRef>
              <c:f>Charting!$H$12:$K$12</c:f>
              <c:numCache>
                <c:formatCode>"$"#,##0_);[Red]\("$"#,##0\)</c:formatCode>
                <c:ptCount val="4"/>
                <c:pt idx="0" formatCode="#,##0">
                  <c:v>3912</c:v>
                </c:pt>
                <c:pt idx="1">
                  <c:v>234911825</c:v>
                </c:pt>
                <c:pt idx="2" formatCode=";;;">
                  <c:v>25568251</c:v>
                </c:pt>
                <c:pt idx="3" formatCode=";;;">
                  <c:v>892</c:v>
                </c:pt>
              </c:numCache>
            </c:numRef>
          </c:yVal>
          <c:smooth val="0"/>
        </c:ser>
        <c:ser>
          <c:idx val="11"/>
          <c:order val="1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60000"/>
                      </a:srgbClr>
                    </a:solidFill>
                  </a14:hiddenFill>
                </a:ext>
              </a:extLst>
            </c:spPr>
          </c:marker>
          <c:yVal>
            <c:numRef>
              <c:f>Charting!$H$13:$K$13</c:f>
              <c:numCache>
                <c:formatCode>"$"#,##0_);[Red]\("$"#,##0\)</c:formatCode>
                <c:ptCount val="4"/>
                <c:pt idx="0" formatCode="#,##0">
                  <c:v>3907</c:v>
                </c:pt>
                <c:pt idx="1">
                  <c:v>228778661</c:v>
                </c:pt>
                <c:pt idx="2" formatCode=";;;">
                  <c:v>25568251</c:v>
                </c:pt>
                <c:pt idx="3" formatCode=";;;">
                  <c:v>892</c:v>
                </c:pt>
              </c:numCache>
            </c:numRef>
          </c:yVal>
          <c:smooth val="0"/>
        </c:ser>
        <c:ser>
          <c:idx val="12"/>
          <c:order val="1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80000"/>
                        <a:lumOff val="20000"/>
                      </a:srgbClr>
                    </a:solidFill>
                  </a14:hiddenFill>
                </a:ext>
              </a:extLst>
            </c:spPr>
          </c:marker>
          <c:yVal>
            <c:numRef>
              <c:f>Charting!$H$14:$K$14</c:f>
              <c:numCache>
                <c:formatCode>"$"#,##0_);[Red]\("$"#,##0\)</c:formatCode>
                <c:ptCount val="4"/>
                <c:pt idx="0" formatCode="#,##0">
                  <c:v>3841</c:v>
                </c:pt>
                <c:pt idx="1">
                  <c:v>206362140</c:v>
                </c:pt>
                <c:pt idx="2" formatCode=";;;">
                  <c:v>25568251</c:v>
                </c:pt>
                <c:pt idx="3" formatCode=";;;">
                  <c:v>892</c:v>
                </c:pt>
              </c:numCache>
            </c:numRef>
          </c:yVal>
          <c:smooth val="0"/>
        </c:ser>
        <c:ser>
          <c:idx val="13"/>
          <c:order val="1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80000"/>
                        <a:lumOff val="20000"/>
                      </a:srgbClr>
                    </a:solidFill>
                  </a14:hiddenFill>
                </a:ext>
              </a:extLst>
            </c:spPr>
          </c:marker>
          <c:yVal>
            <c:numRef>
              <c:f>Charting!$H$15:$K$15</c:f>
              <c:numCache>
                <c:formatCode>"$"#,##0_);[Red]\("$"#,##0\)</c:formatCode>
                <c:ptCount val="4"/>
                <c:pt idx="0" formatCode="#,##0">
                  <c:v>3607</c:v>
                </c:pt>
                <c:pt idx="1">
                  <c:v>202359711</c:v>
                </c:pt>
                <c:pt idx="2" formatCode=";;;">
                  <c:v>25568251</c:v>
                </c:pt>
                <c:pt idx="3" formatCode=";;;">
                  <c:v>892</c:v>
                </c:pt>
              </c:numCache>
            </c:numRef>
          </c:yVal>
          <c:smooth val="0"/>
        </c:ser>
        <c:ser>
          <c:idx val="14"/>
          <c:order val="1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80000"/>
                        <a:lumOff val="20000"/>
                      </a:srgbClr>
                    </a:solidFill>
                  </a14:hiddenFill>
                </a:ext>
              </a:extLst>
            </c:spPr>
          </c:marker>
          <c:yVal>
            <c:numRef>
              <c:f>Charting!$H$16:$K$16</c:f>
              <c:numCache>
                <c:formatCode>"$"#,##0_);[Red]\("$"#,##0\)</c:formatCode>
                <c:ptCount val="4"/>
                <c:pt idx="0" formatCode="#,##0">
                  <c:v>4065</c:v>
                </c:pt>
                <c:pt idx="1">
                  <c:v>187168425</c:v>
                </c:pt>
                <c:pt idx="2" formatCode=";;;">
                  <c:v>25568251</c:v>
                </c:pt>
                <c:pt idx="3" formatCode=";;;">
                  <c:v>892</c:v>
                </c:pt>
              </c:numCache>
            </c:numRef>
          </c:yVal>
          <c:smooth val="0"/>
        </c:ser>
        <c:ser>
          <c:idx val="15"/>
          <c:order val="1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80000"/>
                        <a:lumOff val="20000"/>
                      </a:srgbClr>
                    </a:solidFill>
                  </a14:hiddenFill>
                </a:ext>
              </a:extLst>
            </c:spPr>
          </c:marker>
          <c:yVal>
            <c:numRef>
              <c:f>Charting!$H$17:$K$17</c:f>
              <c:numCache>
                <c:formatCode>"$"#,##0_);[Red]\("$"#,##0\)</c:formatCode>
                <c:ptCount val="4"/>
                <c:pt idx="0" formatCode="#,##0">
                  <c:v>3184</c:v>
                </c:pt>
                <c:pt idx="1">
                  <c:v>159582188</c:v>
                </c:pt>
                <c:pt idx="2" formatCode=";;;">
                  <c:v>25568251</c:v>
                </c:pt>
                <c:pt idx="3" formatCode=";;;">
                  <c:v>892</c:v>
                </c:pt>
              </c:numCache>
            </c:numRef>
          </c:yVal>
          <c:smooth val="0"/>
        </c:ser>
        <c:ser>
          <c:idx val="16"/>
          <c:order val="1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80000"/>
                        <a:lumOff val="20000"/>
                      </a:srgbClr>
                    </a:solidFill>
                  </a14:hiddenFill>
                </a:ext>
              </a:extLst>
            </c:spPr>
          </c:marker>
          <c:yVal>
            <c:numRef>
              <c:f>Charting!$H$18:$K$18</c:f>
              <c:numCache>
                <c:formatCode>"$"#,##0_);[Red]\("$"#,##0\)</c:formatCode>
                <c:ptCount val="4"/>
                <c:pt idx="0" formatCode="#,##0">
                  <c:v>3445</c:v>
                </c:pt>
                <c:pt idx="1">
                  <c:v>150394119</c:v>
                </c:pt>
                <c:pt idx="2" formatCode=";;;">
                  <c:v>25568251</c:v>
                </c:pt>
                <c:pt idx="3" formatCode=";;;">
                  <c:v>892</c:v>
                </c:pt>
              </c:numCache>
            </c:numRef>
          </c:yVal>
          <c:smooth val="0"/>
        </c:ser>
        <c:ser>
          <c:idx val="17"/>
          <c:order val="1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80000"/>
                        <a:lumOff val="20000"/>
                      </a:srgbClr>
                    </a:solidFill>
                  </a14:hiddenFill>
                </a:ext>
              </a:extLst>
            </c:spPr>
          </c:marker>
          <c:yVal>
            <c:numRef>
              <c:f>Charting!$H$19:$K$19</c:f>
              <c:numCache>
                <c:formatCode>"$"#,##0_);[Red]\("$"#,##0\)</c:formatCode>
                <c:ptCount val="4"/>
                <c:pt idx="0" formatCode="#,##0">
                  <c:v>2629</c:v>
                </c:pt>
                <c:pt idx="1">
                  <c:v>150117807</c:v>
                </c:pt>
                <c:pt idx="2" formatCode=";;;">
                  <c:v>25568251</c:v>
                </c:pt>
                <c:pt idx="3" formatCode=";;;">
                  <c:v>892</c:v>
                </c:pt>
              </c:numCache>
            </c:numRef>
          </c:yVal>
          <c:smooth val="0"/>
        </c:ser>
        <c:ser>
          <c:idx val="18"/>
          <c:order val="1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80000"/>
                      </a:srgbClr>
                    </a:solidFill>
                  </a14:hiddenFill>
                </a:ext>
              </a:extLst>
            </c:spPr>
          </c:marker>
          <c:yVal>
            <c:numRef>
              <c:f>Charting!$H$20:$K$20</c:f>
              <c:numCache>
                <c:formatCode>"$"#,##0_);[Red]\("$"#,##0\)</c:formatCode>
                <c:ptCount val="4"/>
                <c:pt idx="0" formatCode="#,##0">
                  <c:v>3550</c:v>
                </c:pt>
                <c:pt idx="1">
                  <c:v>144840419</c:v>
                </c:pt>
                <c:pt idx="2" formatCode=";;;">
                  <c:v>25568251</c:v>
                </c:pt>
                <c:pt idx="3" formatCode=";;;">
                  <c:v>892</c:v>
                </c:pt>
              </c:numCache>
            </c:numRef>
          </c:yVal>
          <c:smooth val="0"/>
        </c:ser>
        <c:ser>
          <c:idx val="19"/>
          <c:order val="1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80000"/>
                      </a:srgbClr>
                    </a:solidFill>
                  </a14:hiddenFill>
                </a:ext>
              </a:extLst>
            </c:spPr>
          </c:marker>
          <c:yVal>
            <c:numRef>
              <c:f>Charting!$H$21:$K$21</c:f>
              <c:numCache>
                <c:formatCode>"$"#,##0_);[Red]\("$"#,##0\)</c:formatCode>
                <c:ptCount val="4"/>
                <c:pt idx="0" formatCode="#,##0">
                  <c:v>3115</c:v>
                </c:pt>
                <c:pt idx="1">
                  <c:v>137400141</c:v>
                </c:pt>
                <c:pt idx="2" formatCode=";;;">
                  <c:v>25568251</c:v>
                </c:pt>
                <c:pt idx="3" formatCode=";;;">
                  <c:v>892</c:v>
                </c:pt>
              </c:numCache>
            </c:numRef>
          </c:yVal>
          <c:smooth val="0"/>
        </c:ser>
        <c:ser>
          <c:idx val="20"/>
          <c:order val="2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80000"/>
                      </a:srgbClr>
                    </a:solidFill>
                  </a14:hiddenFill>
                </a:ext>
              </a:extLst>
            </c:spPr>
          </c:marker>
          <c:yVal>
            <c:numRef>
              <c:f>Charting!$H$22:$K$22</c:f>
              <c:numCache>
                <c:formatCode>"$"#,##0_);[Red]\("$"#,##0\)</c:formatCode>
                <c:ptCount val="4"/>
                <c:pt idx="0" formatCode="#,##0">
                  <c:v>3230</c:v>
                </c:pt>
                <c:pt idx="1">
                  <c:v>134506920</c:v>
                </c:pt>
                <c:pt idx="2" formatCode=";;;">
                  <c:v>25568251</c:v>
                </c:pt>
                <c:pt idx="3" formatCode=";;;">
                  <c:v>892</c:v>
                </c:pt>
              </c:numCache>
            </c:numRef>
          </c:yVal>
          <c:smooth val="0"/>
        </c:ser>
        <c:ser>
          <c:idx val="21"/>
          <c:order val="2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80000"/>
                      </a:srgbClr>
                    </a:solidFill>
                  </a14:hiddenFill>
                </a:ext>
              </a:extLst>
            </c:spPr>
          </c:marker>
          <c:yVal>
            <c:numRef>
              <c:f>Charting!$H$23:$K$23</c:f>
              <c:numCache>
                <c:formatCode>"$"#,##0_);[Red]\("$"#,##0\)</c:formatCode>
                <c:ptCount val="4"/>
                <c:pt idx="0" formatCode="#,##0">
                  <c:v>3491</c:v>
                </c:pt>
                <c:pt idx="1">
                  <c:v>133668525</c:v>
                </c:pt>
                <c:pt idx="2" formatCode=";;;">
                  <c:v>25568251</c:v>
                </c:pt>
                <c:pt idx="3" formatCode=";;;">
                  <c:v>892</c:v>
                </c:pt>
              </c:numCache>
            </c:numRef>
          </c:yVal>
          <c:smooth val="0"/>
        </c:ser>
        <c:ser>
          <c:idx val="22"/>
          <c:order val="2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80000"/>
                      </a:srgbClr>
                    </a:solidFill>
                  </a14:hiddenFill>
                </a:ext>
              </a:extLst>
            </c:spPr>
          </c:marker>
          <c:yVal>
            <c:numRef>
              <c:f>Charting!$H$24:$K$24</c:f>
              <c:numCache>
                <c:formatCode>"$"#,##0_);[Red]\("$"#,##0\)</c:formatCode>
                <c:ptCount val="4"/>
                <c:pt idx="0" formatCode="#,##0">
                  <c:v>3924</c:v>
                </c:pt>
                <c:pt idx="1">
                  <c:v>132556852</c:v>
                </c:pt>
                <c:pt idx="2" formatCode=";;;">
                  <c:v>25568251</c:v>
                </c:pt>
                <c:pt idx="3" formatCode=";;;">
                  <c:v>892</c:v>
                </c:pt>
              </c:numCache>
            </c:numRef>
          </c:yVal>
          <c:smooth val="0"/>
        </c:ser>
        <c:ser>
          <c:idx val="23"/>
          <c:order val="2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80000"/>
                      </a:srgbClr>
                    </a:solidFill>
                  </a14:hiddenFill>
                </a:ext>
              </a:extLst>
            </c:spPr>
          </c:marker>
          <c:yVal>
            <c:numRef>
              <c:f>Charting!$H$25:$K$25</c:f>
              <c:numCache>
                <c:formatCode>"$"#,##0_);[Red]\("$"#,##0\)</c:formatCode>
                <c:ptCount val="4"/>
                <c:pt idx="0" formatCode="#,##0">
                  <c:v>3507</c:v>
                </c:pt>
                <c:pt idx="1">
                  <c:v>125168368</c:v>
                </c:pt>
                <c:pt idx="2" formatCode=";;;">
                  <c:v>25568251</c:v>
                </c:pt>
                <c:pt idx="3" formatCode=";;;">
                  <c:v>892</c:v>
                </c:pt>
              </c:numCache>
            </c:numRef>
          </c:yVal>
          <c:smooth val="0"/>
        </c:ser>
        <c:ser>
          <c:idx val="24"/>
          <c:order val="2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60000"/>
                        <a:lumOff val="40000"/>
                      </a:srgbClr>
                    </a:solidFill>
                  </a14:hiddenFill>
                </a:ext>
              </a:extLst>
            </c:spPr>
          </c:marker>
          <c:yVal>
            <c:numRef>
              <c:f>Charting!$H$26:$K$26</c:f>
              <c:numCache>
                <c:formatCode>"$"#,##0_);[Red]\("$"#,##0\)</c:formatCode>
                <c:ptCount val="4"/>
                <c:pt idx="0" formatCode="#,##0">
                  <c:v>3285</c:v>
                </c:pt>
                <c:pt idx="1">
                  <c:v>125095601</c:v>
                </c:pt>
                <c:pt idx="2" formatCode=";;;">
                  <c:v>25568251</c:v>
                </c:pt>
                <c:pt idx="3" formatCode=";;;">
                  <c:v>892</c:v>
                </c:pt>
              </c:numCache>
            </c:numRef>
          </c:yVal>
          <c:smooth val="0"/>
        </c:ser>
        <c:ser>
          <c:idx val="25"/>
          <c:order val="2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60000"/>
                        <a:lumOff val="40000"/>
                      </a:srgbClr>
                    </a:solidFill>
                  </a14:hiddenFill>
                </a:ext>
              </a:extLst>
            </c:spPr>
          </c:marker>
          <c:yVal>
            <c:numRef>
              <c:f>Charting!$H$27:$K$27</c:f>
              <c:numCache>
                <c:formatCode>"$"#,##0_);[Red]\("$"#,##0\)</c:formatCode>
                <c:ptCount val="4"/>
                <c:pt idx="0" formatCode="#,##0">
                  <c:v>3734</c:v>
                </c:pt>
                <c:pt idx="1">
                  <c:v>122523060</c:v>
                </c:pt>
                <c:pt idx="2" formatCode=";;;">
                  <c:v>25568251</c:v>
                </c:pt>
                <c:pt idx="3" formatCode=";;;">
                  <c:v>892</c:v>
                </c:pt>
              </c:numCache>
            </c:numRef>
          </c:yVal>
          <c:smooth val="0"/>
        </c:ser>
        <c:ser>
          <c:idx val="26"/>
          <c:order val="2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60000"/>
                        <a:lumOff val="40000"/>
                      </a:srgbClr>
                    </a:solidFill>
                  </a14:hiddenFill>
                </a:ext>
              </a:extLst>
            </c:spPr>
          </c:marker>
          <c:yVal>
            <c:numRef>
              <c:f>Charting!$H$28:$K$28</c:f>
              <c:numCache>
                <c:formatCode>"$"#,##0_);[Red]\("$"#,##0\)</c:formatCode>
                <c:ptCount val="4"/>
                <c:pt idx="0" formatCode="#,##0">
                  <c:v>4001</c:v>
                </c:pt>
                <c:pt idx="1">
                  <c:v>119793567</c:v>
                </c:pt>
                <c:pt idx="2" formatCode=";;;">
                  <c:v>25568251</c:v>
                </c:pt>
                <c:pt idx="3" formatCode=";;;">
                  <c:v>892</c:v>
                </c:pt>
              </c:numCache>
            </c:numRef>
          </c:yVal>
          <c:smooth val="0"/>
        </c:ser>
        <c:ser>
          <c:idx val="27"/>
          <c:order val="2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60000"/>
                        <a:lumOff val="40000"/>
                      </a:srgbClr>
                    </a:solidFill>
                  </a14:hiddenFill>
                </a:ext>
              </a:extLst>
            </c:spPr>
          </c:marker>
          <c:yVal>
            <c:numRef>
              <c:f>Charting!$H$29:$K$29</c:f>
              <c:numCache>
                <c:formatCode>"$"#,##0_);[Red]\("$"#,##0\)</c:formatCode>
                <c:ptCount val="4"/>
                <c:pt idx="0" formatCode="#,##0">
                  <c:v>3082</c:v>
                </c:pt>
                <c:pt idx="1">
                  <c:v>117723989</c:v>
                </c:pt>
                <c:pt idx="2" formatCode=";;;">
                  <c:v>25568251</c:v>
                </c:pt>
                <c:pt idx="3" formatCode=";;;">
                  <c:v>892</c:v>
                </c:pt>
              </c:numCache>
            </c:numRef>
          </c:yVal>
          <c:smooth val="0"/>
        </c:ser>
        <c:ser>
          <c:idx val="28"/>
          <c:order val="2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60000"/>
                        <a:lumOff val="40000"/>
                      </a:srgbClr>
                    </a:solidFill>
                  </a14:hiddenFill>
                </a:ext>
              </a:extLst>
            </c:spPr>
          </c:marker>
          <c:yVal>
            <c:numRef>
              <c:f>Charting!$H$30:$K$30</c:f>
              <c:numCache>
                <c:formatCode>"$"#,##0_);[Red]\("$"#,##0\)</c:formatCode>
                <c:ptCount val="4"/>
                <c:pt idx="0" formatCode="#,##0">
                  <c:v>2557</c:v>
                </c:pt>
                <c:pt idx="1">
                  <c:v>116900694</c:v>
                </c:pt>
                <c:pt idx="2" formatCode=";;;">
                  <c:v>25568251</c:v>
                </c:pt>
                <c:pt idx="3" formatCode=";;;">
                  <c:v>892</c:v>
                </c:pt>
              </c:numCache>
            </c:numRef>
          </c:yVal>
          <c:smooth val="0"/>
        </c:ser>
        <c:ser>
          <c:idx val="29"/>
          <c:order val="2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60000"/>
                        <a:lumOff val="40000"/>
                      </a:srgbClr>
                    </a:solidFill>
                  </a14:hiddenFill>
                </a:ext>
              </a:extLst>
            </c:spPr>
          </c:marker>
          <c:yVal>
            <c:numRef>
              <c:f>Charting!$H$31:$K$31</c:f>
              <c:numCache>
                <c:formatCode>"$"#,##0_);[Red]\("$"#,##0\)</c:formatCode>
                <c:ptCount val="4"/>
                <c:pt idx="0" formatCode="#,##0">
                  <c:v>3330</c:v>
                </c:pt>
                <c:pt idx="1">
                  <c:v>116632095</c:v>
                </c:pt>
                <c:pt idx="2" formatCode=";;;">
                  <c:v>25568251</c:v>
                </c:pt>
                <c:pt idx="3" formatCode=";;;">
                  <c:v>892</c:v>
                </c:pt>
              </c:numCache>
            </c:numRef>
          </c:yVal>
          <c:smooth val="0"/>
        </c:ser>
        <c:ser>
          <c:idx val="30"/>
          <c:order val="3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50000"/>
                      </a:srgbClr>
                    </a:solidFill>
                  </a14:hiddenFill>
                </a:ext>
              </a:extLst>
            </c:spPr>
          </c:marker>
          <c:yVal>
            <c:numRef>
              <c:f>Charting!$H$32:$K$32</c:f>
              <c:numCache>
                <c:formatCode>"$"#,##0_);[Red]\("$"#,##0\)</c:formatCode>
                <c:ptCount val="4"/>
                <c:pt idx="0" formatCode="#,##0">
                  <c:v>3565</c:v>
                </c:pt>
                <c:pt idx="1">
                  <c:v>112200072</c:v>
                </c:pt>
                <c:pt idx="2" formatCode=";;;">
                  <c:v>25568251</c:v>
                </c:pt>
                <c:pt idx="3" formatCode=";;;">
                  <c:v>892</c:v>
                </c:pt>
              </c:numCache>
            </c:numRef>
          </c:yVal>
          <c:smooth val="0"/>
        </c:ser>
        <c:ser>
          <c:idx val="31"/>
          <c:order val="3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50000"/>
                      </a:srgbClr>
                    </a:solidFill>
                  </a14:hiddenFill>
                </a:ext>
              </a:extLst>
            </c:spPr>
          </c:marker>
          <c:yVal>
            <c:numRef>
              <c:f>Charting!$H$33:$K$33</c:f>
              <c:numCache>
                <c:formatCode>"$"#,##0_);[Red]\("$"#,##0\)</c:formatCode>
                <c:ptCount val="4"/>
                <c:pt idx="0" formatCode="#,##0">
                  <c:v>3894</c:v>
                </c:pt>
                <c:pt idx="1">
                  <c:v>107518682</c:v>
                </c:pt>
                <c:pt idx="2" formatCode=";;;">
                  <c:v>25568251</c:v>
                </c:pt>
                <c:pt idx="3" formatCode=";;;">
                  <c:v>892</c:v>
                </c:pt>
              </c:numCache>
            </c:numRef>
          </c:yVal>
          <c:smooth val="0"/>
        </c:ser>
        <c:ser>
          <c:idx val="32"/>
          <c:order val="3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50000"/>
                      </a:srgbClr>
                    </a:solidFill>
                  </a14:hiddenFill>
                </a:ext>
              </a:extLst>
            </c:spPr>
          </c:marker>
          <c:yVal>
            <c:numRef>
              <c:f>Charting!$H$34:$K$34</c:f>
              <c:numCache>
                <c:formatCode>"$"#,##0_);[Red]\("$"#,##0\)</c:formatCode>
                <c:ptCount val="4"/>
                <c:pt idx="0" formatCode="#,##0">
                  <c:v>3143</c:v>
                </c:pt>
                <c:pt idx="1">
                  <c:v>107100855</c:v>
                </c:pt>
                <c:pt idx="2" formatCode=";;;">
                  <c:v>25568251</c:v>
                </c:pt>
                <c:pt idx="3" formatCode=";;;">
                  <c:v>892</c:v>
                </c:pt>
              </c:numCache>
            </c:numRef>
          </c:yVal>
          <c:smooth val="0"/>
        </c:ser>
        <c:ser>
          <c:idx val="33"/>
          <c:order val="3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50000"/>
                      </a:srgbClr>
                    </a:solidFill>
                  </a14:hiddenFill>
                </a:ext>
              </a:extLst>
            </c:spPr>
          </c:marker>
          <c:yVal>
            <c:numRef>
              <c:f>Charting!$H$35:$K$35</c:f>
              <c:numCache>
                <c:formatCode>"$"#,##0_);[Red]\("$"#,##0\)</c:formatCode>
                <c:ptCount val="4"/>
                <c:pt idx="0" formatCode="#,##0">
                  <c:v>3345</c:v>
                </c:pt>
                <c:pt idx="1">
                  <c:v>102003019</c:v>
                </c:pt>
                <c:pt idx="2" formatCode=";;;">
                  <c:v>25568251</c:v>
                </c:pt>
                <c:pt idx="3" formatCode=";;;">
                  <c:v>892</c:v>
                </c:pt>
              </c:numCache>
            </c:numRef>
          </c:yVal>
          <c:smooth val="0"/>
        </c:ser>
        <c:ser>
          <c:idx val="34"/>
          <c:order val="3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50000"/>
                      </a:srgbClr>
                    </a:solidFill>
                  </a14:hiddenFill>
                </a:ext>
              </a:extLst>
            </c:spPr>
          </c:marker>
          <c:yVal>
            <c:numRef>
              <c:f>Charting!$H$36:$K$36</c:f>
              <c:numCache>
                <c:formatCode>"$"#,##0_);[Red]\("$"#,##0\)</c:formatCode>
                <c:ptCount val="4"/>
                <c:pt idx="0" formatCode="#,##0">
                  <c:v>3285</c:v>
                </c:pt>
                <c:pt idx="1">
                  <c:v>101802906</c:v>
                </c:pt>
                <c:pt idx="2" formatCode=";;;">
                  <c:v>25568251</c:v>
                </c:pt>
                <c:pt idx="3" formatCode=";;;">
                  <c:v>892</c:v>
                </c:pt>
              </c:numCache>
            </c:numRef>
          </c:yVal>
          <c:smooth val="0"/>
        </c:ser>
        <c:ser>
          <c:idx val="35"/>
          <c:order val="3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50000"/>
                      </a:srgbClr>
                    </a:solidFill>
                  </a14:hiddenFill>
                </a:ext>
              </a:extLst>
            </c:spPr>
          </c:marker>
          <c:yVal>
            <c:numRef>
              <c:f>Charting!$H$37:$K$37</c:f>
              <c:numCache>
                <c:formatCode>"$"#,##0_);[Red]\("$"#,##0\)</c:formatCode>
                <c:ptCount val="4"/>
                <c:pt idx="0" formatCode="#,##0">
                  <c:v>3055</c:v>
                </c:pt>
                <c:pt idx="1">
                  <c:v>101470202</c:v>
                </c:pt>
                <c:pt idx="2" formatCode=";;;">
                  <c:v>25568251</c:v>
                </c:pt>
                <c:pt idx="3" formatCode=";;;">
                  <c:v>892</c:v>
                </c:pt>
              </c:numCache>
            </c:numRef>
          </c:yVal>
          <c:smooth val="0"/>
        </c:ser>
        <c:ser>
          <c:idx val="36"/>
          <c:order val="3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70000"/>
                        <a:lumOff val="30000"/>
                      </a:srgbClr>
                    </a:solidFill>
                  </a14:hiddenFill>
                </a:ext>
              </a:extLst>
            </c:spPr>
          </c:marker>
          <c:yVal>
            <c:numRef>
              <c:f>Charting!$H$38:$K$38</c:f>
              <c:numCache>
                <c:formatCode>"$"#,##0_);[Red]\("$"#,##0\)</c:formatCode>
                <c:ptCount val="4"/>
                <c:pt idx="0" formatCode="#,##0">
                  <c:v>3106</c:v>
                </c:pt>
                <c:pt idx="1">
                  <c:v>98925640</c:v>
                </c:pt>
                <c:pt idx="2" formatCode=";;;">
                  <c:v>25568251</c:v>
                </c:pt>
                <c:pt idx="3" formatCode=";;;">
                  <c:v>892</c:v>
                </c:pt>
              </c:numCache>
            </c:numRef>
          </c:yVal>
          <c:smooth val="0"/>
        </c:ser>
        <c:ser>
          <c:idx val="37"/>
          <c:order val="3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70000"/>
                        <a:lumOff val="30000"/>
                      </a:srgbClr>
                    </a:solidFill>
                  </a14:hiddenFill>
                </a:ext>
              </a:extLst>
            </c:spPr>
          </c:marker>
          <c:yVal>
            <c:numRef>
              <c:f>Charting!$H$39:$K$39</c:f>
              <c:numCache>
                <c:formatCode>"$"#,##0_);[Red]\("$"#,##0\)</c:formatCode>
                <c:ptCount val="4"/>
                <c:pt idx="0" formatCode="#,##0">
                  <c:v>3405</c:v>
                </c:pt>
                <c:pt idx="1">
                  <c:v>95020213</c:v>
                </c:pt>
                <c:pt idx="2" formatCode=";;;">
                  <c:v>25568251</c:v>
                </c:pt>
                <c:pt idx="3" formatCode=";;;">
                  <c:v>892</c:v>
                </c:pt>
              </c:numCache>
            </c:numRef>
          </c:yVal>
          <c:smooth val="0"/>
        </c:ser>
        <c:ser>
          <c:idx val="38"/>
          <c:order val="3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70000"/>
                        <a:lumOff val="30000"/>
                      </a:srgbClr>
                    </a:solidFill>
                  </a14:hiddenFill>
                </a:ext>
              </a:extLst>
            </c:spPr>
          </c:marker>
          <c:yVal>
            <c:numRef>
              <c:f>Charting!$H$40:$K$40</c:f>
              <c:numCache>
                <c:formatCode>"$"#,##0_);[Red]\("$"#,##0\)</c:formatCode>
                <c:ptCount val="4"/>
                <c:pt idx="0" formatCode="#,##0">
                  <c:v>3284</c:v>
                </c:pt>
                <c:pt idx="1">
                  <c:v>93050117</c:v>
                </c:pt>
                <c:pt idx="2" formatCode=";;;">
                  <c:v>25568251</c:v>
                </c:pt>
                <c:pt idx="3" formatCode=";;;">
                  <c:v>892</c:v>
                </c:pt>
              </c:numCache>
            </c:numRef>
          </c:yVal>
          <c:smooth val="0"/>
        </c:ser>
        <c:ser>
          <c:idx val="39"/>
          <c:order val="3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70000"/>
                        <a:lumOff val="30000"/>
                      </a:srgbClr>
                    </a:solidFill>
                  </a14:hiddenFill>
                </a:ext>
              </a:extLst>
            </c:spPr>
          </c:marker>
          <c:yVal>
            <c:numRef>
              <c:f>Charting!$H$41:$K$41</c:f>
              <c:numCache>
                <c:formatCode>"$"#,##0_);[Red]\("$"#,##0\)</c:formatCode>
                <c:ptCount val="4"/>
                <c:pt idx="0" formatCode="#,##0">
                  <c:v>3716</c:v>
                </c:pt>
                <c:pt idx="1">
                  <c:v>90288712</c:v>
                </c:pt>
                <c:pt idx="2" formatCode=";;;">
                  <c:v>25568251</c:v>
                </c:pt>
                <c:pt idx="3" formatCode=";;;">
                  <c:v>892</c:v>
                </c:pt>
              </c:numCache>
            </c:numRef>
          </c:yVal>
          <c:smooth val="0"/>
        </c:ser>
        <c:ser>
          <c:idx val="40"/>
          <c:order val="4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70000"/>
                        <a:lumOff val="30000"/>
                      </a:srgbClr>
                    </a:solidFill>
                  </a14:hiddenFill>
                </a:ext>
              </a:extLst>
            </c:spPr>
          </c:marker>
          <c:yVal>
            <c:numRef>
              <c:f>Charting!$H$42:$K$42</c:f>
              <c:numCache>
                <c:formatCode>"$"#,##0_);[Red]\("$"#,##0\)</c:formatCode>
                <c:ptCount val="4"/>
                <c:pt idx="0" formatCode="#,##0">
                  <c:v>3904</c:v>
                </c:pt>
                <c:pt idx="1">
                  <c:v>89302115</c:v>
                </c:pt>
                <c:pt idx="2" formatCode=";;;">
                  <c:v>25568251</c:v>
                </c:pt>
                <c:pt idx="3" formatCode=";;;">
                  <c:v>892</c:v>
                </c:pt>
              </c:numCache>
            </c:numRef>
          </c:yVal>
          <c:smooth val="0"/>
        </c:ser>
        <c:ser>
          <c:idx val="41"/>
          <c:order val="4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70000"/>
                        <a:lumOff val="30000"/>
                      </a:srgbClr>
                    </a:solidFill>
                  </a14:hiddenFill>
                </a:ext>
              </a:extLst>
            </c:spPr>
          </c:marker>
          <c:yVal>
            <c:numRef>
              <c:f>Charting!$H$43:$K$43</c:f>
              <c:numCache>
                <c:formatCode>"$"#,##0_);[Red]\("$"#,##0\)</c:formatCode>
                <c:ptCount val="4"/>
                <c:pt idx="0" formatCode="#,##0">
                  <c:v>3792</c:v>
                </c:pt>
                <c:pt idx="1">
                  <c:v>89107235</c:v>
                </c:pt>
                <c:pt idx="2" formatCode=";;;">
                  <c:v>25568251</c:v>
                </c:pt>
                <c:pt idx="3" formatCode=";;;">
                  <c:v>892</c:v>
                </c:pt>
              </c:numCache>
            </c:numRef>
          </c:yVal>
          <c:smooth val="0"/>
        </c:ser>
        <c:ser>
          <c:idx val="42"/>
          <c:order val="4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70000"/>
                      </a:srgbClr>
                    </a:solidFill>
                  </a14:hiddenFill>
                </a:ext>
              </a:extLst>
            </c:spPr>
          </c:marker>
          <c:yVal>
            <c:numRef>
              <c:f>Charting!$H$44:$K$44</c:f>
              <c:numCache>
                <c:formatCode>"$"#,##0_);[Red]\("$"#,##0\)</c:formatCode>
                <c:ptCount val="4"/>
                <c:pt idx="0" formatCode="#,##0">
                  <c:v>3155</c:v>
                </c:pt>
                <c:pt idx="1">
                  <c:v>83586447</c:v>
                </c:pt>
                <c:pt idx="2" formatCode=";;;">
                  <c:v>25568251</c:v>
                </c:pt>
                <c:pt idx="3" formatCode=";;;">
                  <c:v>892</c:v>
                </c:pt>
              </c:numCache>
            </c:numRef>
          </c:yVal>
          <c:smooth val="0"/>
        </c:ser>
        <c:ser>
          <c:idx val="43"/>
          <c:order val="4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70000"/>
                      </a:srgbClr>
                    </a:solidFill>
                  </a14:hiddenFill>
                </a:ext>
              </a:extLst>
            </c:spPr>
          </c:marker>
          <c:yVal>
            <c:numRef>
              <c:f>Charting!$H$45:$K$45</c:f>
              <c:numCache>
                <c:formatCode>"$"#,##0_);[Red]\("$"#,##0\)</c:formatCode>
                <c:ptCount val="4"/>
                <c:pt idx="0" formatCode="#,##0">
                  <c:v>2671</c:v>
                </c:pt>
                <c:pt idx="1">
                  <c:v>83301580</c:v>
                </c:pt>
                <c:pt idx="2" formatCode=";;;">
                  <c:v>25568251</c:v>
                </c:pt>
                <c:pt idx="3" formatCode=";;;">
                  <c:v>892</c:v>
                </c:pt>
              </c:numCache>
            </c:numRef>
          </c:yVal>
          <c:smooth val="0"/>
        </c:ser>
        <c:ser>
          <c:idx val="44"/>
          <c:order val="4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70000"/>
                      </a:srgbClr>
                    </a:solidFill>
                  </a14:hiddenFill>
                </a:ext>
              </a:extLst>
            </c:spPr>
          </c:marker>
          <c:yVal>
            <c:numRef>
              <c:f>Charting!$H$46:$K$46</c:f>
              <c:numCache>
                <c:formatCode>"$"#,##0_);[Red]\("$"#,##0\)</c:formatCode>
                <c:ptCount val="4"/>
                <c:pt idx="0" formatCode="#,##0">
                  <c:v>3809</c:v>
                </c:pt>
                <c:pt idx="1">
                  <c:v>83028128</c:v>
                </c:pt>
                <c:pt idx="2" formatCode=";;;">
                  <c:v>25568251</c:v>
                </c:pt>
                <c:pt idx="3" formatCode=";;;">
                  <c:v>892</c:v>
                </c:pt>
              </c:numCache>
            </c:numRef>
          </c:yVal>
          <c:smooth val="0"/>
        </c:ser>
        <c:ser>
          <c:idx val="45"/>
          <c:order val="4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70000"/>
                      </a:srgbClr>
                    </a:solidFill>
                  </a14:hiddenFill>
                </a:ext>
              </a:extLst>
            </c:spPr>
          </c:marker>
          <c:yVal>
            <c:numRef>
              <c:f>Charting!$H$47:$K$47</c:f>
              <c:numCache>
                <c:formatCode>"$"#,##0_);[Red]\("$"#,##0\)</c:formatCode>
                <c:ptCount val="4"/>
                <c:pt idx="0" formatCode="#,##0">
                  <c:v>3028</c:v>
                </c:pt>
                <c:pt idx="1">
                  <c:v>75612460</c:v>
                </c:pt>
                <c:pt idx="2" formatCode=";;;">
                  <c:v>25568251</c:v>
                </c:pt>
                <c:pt idx="3" formatCode=";;;">
                  <c:v>892</c:v>
                </c:pt>
              </c:numCache>
            </c:numRef>
          </c:yVal>
          <c:smooth val="0"/>
        </c:ser>
        <c:ser>
          <c:idx val="46"/>
          <c:order val="4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70000"/>
                      </a:srgbClr>
                    </a:solidFill>
                  </a14:hiddenFill>
                </a:ext>
              </a:extLst>
            </c:spPr>
          </c:marker>
          <c:yVal>
            <c:numRef>
              <c:f>Charting!$H$48:$K$48</c:f>
              <c:numCache>
                <c:formatCode>"$"#,##0_);[Red]\("$"#,##0\)</c:formatCode>
                <c:ptCount val="4"/>
                <c:pt idx="0" formatCode="#,##0">
                  <c:v>3222</c:v>
                </c:pt>
                <c:pt idx="1">
                  <c:v>73103784</c:v>
                </c:pt>
                <c:pt idx="2" formatCode=";;;">
                  <c:v>25568251</c:v>
                </c:pt>
                <c:pt idx="3" formatCode=";;;">
                  <c:v>892</c:v>
                </c:pt>
              </c:numCache>
            </c:numRef>
          </c:yVal>
          <c:smooth val="0"/>
        </c:ser>
        <c:ser>
          <c:idx val="47"/>
          <c:order val="4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70000"/>
                      </a:srgbClr>
                    </a:solidFill>
                  </a14:hiddenFill>
                </a:ext>
              </a:extLst>
            </c:spPr>
          </c:marker>
          <c:yVal>
            <c:numRef>
              <c:f>Charting!$H$49:$K$49</c:f>
              <c:numCache>
                <c:formatCode>"$"#,##0_);[Red]\("$"#,##0\)</c:formatCode>
                <c:ptCount val="4"/>
                <c:pt idx="0" formatCode="#,##0">
                  <c:v>2781</c:v>
                </c:pt>
                <c:pt idx="1">
                  <c:v>71628180</c:v>
                </c:pt>
                <c:pt idx="2" formatCode=";;;">
                  <c:v>25568251</c:v>
                </c:pt>
                <c:pt idx="3" formatCode=";;;">
                  <c:v>892</c:v>
                </c:pt>
              </c:numCache>
            </c:numRef>
          </c:yVal>
          <c:smooth val="0"/>
        </c:ser>
        <c:ser>
          <c:idx val="48"/>
          <c:order val="4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50000"/>
                        <a:lumOff val="50000"/>
                      </a:srgbClr>
                    </a:solidFill>
                  </a14:hiddenFill>
                </a:ext>
              </a:extLst>
            </c:spPr>
          </c:marker>
          <c:yVal>
            <c:numRef>
              <c:f>Charting!$H$50:$K$50</c:f>
              <c:numCache>
                <c:formatCode>"$"#,##0_);[Red]\("$"#,##0\)</c:formatCode>
                <c:ptCount val="4"/>
                <c:pt idx="0" formatCode="#,##0">
                  <c:v>3223</c:v>
                </c:pt>
                <c:pt idx="1">
                  <c:v>71349120</c:v>
                </c:pt>
                <c:pt idx="2" formatCode=";;;">
                  <c:v>25568251</c:v>
                </c:pt>
                <c:pt idx="3" formatCode=";;;">
                  <c:v>892</c:v>
                </c:pt>
              </c:numCache>
            </c:numRef>
          </c:yVal>
          <c:smooth val="0"/>
        </c:ser>
        <c:ser>
          <c:idx val="49"/>
          <c:order val="4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50000"/>
                        <a:lumOff val="50000"/>
                      </a:srgbClr>
                    </a:solidFill>
                  </a14:hiddenFill>
                </a:ext>
              </a:extLst>
            </c:spPr>
          </c:marker>
          <c:yVal>
            <c:numRef>
              <c:f>Charting!$H$51:$K$51</c:f>
              <c:numCache>
                <c:formatCode>"$"#,##0_);[Red]\("$"#,##0\)</c:formatCode>
                <c:ptCount val="4"/>
                <c:pt idx="0" formatCode="#,##0">
                  <c:v>3867</c:v>
                </c:pt>
                <c:pt idx="1">
                  <c:v>71017784</c:v>
                </c:pt>
                <c:pt idx="2" formatCode=";;;">
                  <c:v>25568251</c:v>
                </c:pt>
                <c:pt idx="3" formatCode=";;;">
                  <c:v>892</c:v>
                </c:pt>
              </c:numCache>
            </c:numRef>
          </c:yVal>
          <c:smooth val="0"/>
        </c:ser>
        <c:ser>
          <c:idx val="50"/>
          <c:order val="5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50000"/>
                        <a:lumOff val="50000"/>
                      </a:srgbClr>
                    </a:solidFill>
                  </a14:hiddenFill>
                </a:ext>
              </a:extLst>
            </c:spPr>
          </c:marker>
          <c:yVal>
            <c:numRef>
              <c:f>Charting!$H$52:$K$52</c:f>
              <c:numCache>
                <c:formatCode>"$"#,##0_);[Red]\("$"#,##0\)</c:formatCode>
                <c:ptCount val="4"/>
                <c:pt idx="0" formatCode="#,##0">
                  <c:v>2041</c:v>
                </c:pt>
                <c:pt idx="1">
                  <c:v>70525195</c:v>
                </c:pt>
                <c:pt idx="2" formatCode=";;;">
                  <c:v>25568251</c:v>
                </c:pt>
                <c:pt idx="3" formatCode=";;;">
                  <c:v>892</c:v>
                </c:pt>
              </c:numCache>
            </c:numRef>
          </c:yVal>
          <c:smooth val="0"/>
        </c:ser>
        <c:ser>
          <c:idx val="51"/>
          <c:order val="5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50000"/>
                        <a:lumOff val="50000"/>
                      </a:srgbClr>
                    </a:solidFill>
                  </a14:hiddenFill>
                </a:ext>
              </a:extLst>
            </c:spPr>
          </c:marker>
          <c:yVal>
            <c:numRef>
              <c:f>Charting!$H$53:$K$53</c:f>
              <c:numCache>
                <c:formatCode>"$"#,##0_);[Red]\("$"#,##0\)</c:formatCode>
                <c:ptCount val="4"/>
                <c:pt idx="0" formatCode="#,##0">
                  <c:v>3080</c:v>
                </c:pt>
                <c:pt idx="1">
                  <c:v>68559554</c:v>
                </c:pt>
                <c:pt idx="2" formatCode=";;;">
                  <c:v>25568251</c:v>
                </c:pt>
                <c:pt idx="3" formatCode=";;;">
                  <c:v>892</c:v>
                </c:pt>
              </c:numCache>
            </c:numRef>
          </c:yVal>
          <c:smooth val="0"/>
        </c:ser>
        <c:ser>
          <c:idx val="52"/>
          <c:order val="5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50000"/>
                        <a:lumOff val="50000"/>
                      </a:srgbClr>
                    </a:solidFill>
                  </a14:hiddenFill>
                </a:ext>
              </a:extLst>
            </c:spPr>
          </c:marker>
          <c:yVal>
            <c:numRef>
              <c:f>Charting!$H$54:$K$54</c:f>
              <c:numCache>
                <c:formatCode>"$"#,##0_);[Red]\("$"#,##0\)</c:formatCode>
                <c:ptCount val="4"/>
                <c:pt idx="0" formatCode="#,##0">
                  <c:v>3555</c:v>
                </c:pt>
                <c:pt idx="1">
                  <c:v>67349198</c:v>
                </c:pt>
                <c:pt idx="2" formatCode=";;;">
                  <c:v>25568251</c:v>
                </c:pt>
                <c:pt idx="3" formatCode=";;;">
                  <c:v>892</c:v>
                </c:pt>
              </c:numCache>
            </c:numRef>
          </c:yVal>
          <c:smooth val="0"/>
        </c:ser>
        <c:ser>
          <c:idx val="53"/>
          <c:order val="5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50000"/>
                        <a:lumOff val="50000"/>
                      </a:srgbClr>
                    </a:solidFill>
                  </a14:hiddenFill>
                </a:ext>
              </a:extLst>
            </c:spPr>
          </c:marker>
          <c:yVal>
            <c:numRef>
              <c:f>Charting!$H$55:$K$55</c:f>
              <c:numCache>
                <c:formatCode>"$"#,##0_);[Red]\("$"#,##0\)</c:formatCode>
                <c:ptCount val="4"/>
                <c:pt idx="0" formatCode="#,##0">
                  <c:v>3009</c:v>
                </c:pt>
                <c:pt idx="1">
                  <c:v>66380662</c:v>
                </c:pt>
                <c:pt idx="2" formatCode=";;;">
                  <c:v>25568251</c:v>
                </c:pt>
                <c:pt idx="3" formatCode=";;;">
                  <c:v>892</c:v>
                </c:pt>
              </c:numCache>
            </c:numRef>
          </c:yVal>
          <c:smooth val="0"/>
        </c:ser>
        <c:ser>
          <c:idx val="54"/>
          <c:order val="5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solidFill>
                  </a14:hiddenFill>
                </a:ext>
              </a:extLst>
            </c:spPr>
          </c:marker>
          <c:yVal>
            <c:numRef>
              <c:f>Charting!$H$56:$K$56</c:f>
              <c:numCache>
                <c:formatCode>"$"#,##0_);[Red]\("$"#,##0\)</c:formatCode>
                <c:ptCount val="4"/>
                <c:pt idx="0" formatCode="#,##0">
                  <c:v>3525</c:v>
                </c:pt>
                <c:pt idx="1">
                  <c:v>65187603</c:v>
                </c:pt>
                <c:pt idx="2" formatCode=";;;">
                  <c:v>25568251</c:v>
                </c:pt>
                <c:pt idx="3" formatCode=";;;">
                  <c:v>892</c:v>
                </c:pt>
              </c:numCache>
            </c:numRef>
          </c:yVal>
          <c:smooth val="0"/>
        </c:ser>
        <c:ser>
          <c:idx val="55"/>
          <c:order val="5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solidFill>
                  </a14:hiddenFill>
                </a:ext>
              </a:extLst>
            </c:spPr>
          </c:marker>
          <c:yVal>
            <c:numRef>
              <c:f>Charting!$H$57:$K$57</c:f>
              <c:numCache>
                <c:formatCode>"$"#,##0_);[Red]\("$"#,##0\)</c:formatCode>
                <c:ptCount val="4"/>
                <c:pt idx="0" formatCode="#,##0">
                  <c:v>2591</c:v>
                </c:pt>
                <c:pt idx="1">
                  <c:v>64473115</c:v>
                </c:pt>
                <c:pt idx="2" formatCode=";;;">
                  <c:v>25568251</c:v>
                </c:pt>
                <c:pt idx="3" formatCode=";;;">
                  <c:v>892</c:v>
                </c:pt>
              </c:numCache>
            </c:numRef>
          </c:yVal>
          <c:smooth val="0"/>
        </c:ser>
        <c:ser>
          <c:idx val="56"/>
          <c:order val="5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solidFill>
                  </a14:hiddenFill>
                </a:ext>
              </a:extLst>
            </c:spPr>
          </c:marker>
          <c:yVal>
            <c:numRef>
              <c:f>Charting!$H$58:$K$58</c:f>
              <c:numCache>
                <c:formatCode>"$"#,##0_);[Red]\("$"#,##0\)</c:formatCode>
                <c:ptCount val="4"/>
                <c:pt idx="0" formatCode="#,##0">
                  <c:v>3237</c:v>
                </c:pt>
                <c:pt idx="1">
                  <c:v>63914167</c:v>
                </c:pt>
                <c:pt idx="2" formatCode=";;;">
                  <c:v>25568251</c:v>
                </c:pt>
                <c:pt idx="3" formatCode=";;;">
                  <c:v>892</c:v>
                </c:pt>
              </c:numCache>
            </c:numRef>
          </c:yVal>
          <c:smooth val="0"/>
        </c:ser>
        <c:ser>
          <c:idx val="57"/>
          <c:order val="5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solidFill>
                  </a14:hiddenFill>
                </a:ext>
              </a:extLst>
            </c:spPr>
          </c:marker>
          <c:yVal>
            <c:numRef>
              <c:f>Charting!$H$59:$K$59</c:f>
              <c:numCache>
                <c:formatCode>"$"#,##0_);[Red]\("$"#,##0\)</c:formatCode>
                <c:ptCount val="4"/>
                <c:pt idx="0" formatCode="#,##0">
                  <c:v>3407</c:v>
                </c:pt>
                <c:pt idx="1">
                  <c:v>61737191</c:v>
                </c:pt>
                <c:pt idx="2" formatCode=";;;">
                  <c:v>25568251</c:v>
                </c:pt>
                <c:pt idx="3" formatCode=";;;">
                  <c:v>892</c:v>
                </c:pt>
              </c:numCache>
            </c:numRef>
          </c:yVal>
          <c:smooth val="0"/>
        </c:ser>
        <c:ser>
          <c:idx val="58"/>
          <c:order val="5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yVal>
            <c:numRef>
              <c:f>Charting!$H$60:$K$60</c:f>
              <c:numCache>
                <c:formatCode>"$"#,##0_);[Red]\("$"#,##0\)</c:formatCode>
                <c:ptCount val="4"/>
                <c:pt idx="0" formatCode="#,##0">
                  <c:v>3290</c:v>
                </c:pt>
                <c:pt idx="1">
                  <c:v>61002302</c:v>
                </c:pt>
                <c:pt idx="2" formatCode=";;;">
                  <c:v>25568251</c:v>
                </c:pt>
                <c:pt idx="3" formatCode=";;;">
                  <c:v>892</c:v>
                </c:pt>
              </c:numCache>
            </c:numRef>
          </c:yVal>
          <c:smooth val="0"/>
        </c:ser>
        <c:ser>
          <c:idx val="59"/>
          <c:order val="5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solidFill>
                  </a14:hiddenFill>
                </a:ext>
              </a:extLst>
            </c:spPr>
          </c:marker>
          <c:yVal>
            <c:numRef>
              <c:f>Charting!$H$61:$K$61</c:f>
              <c:numCache>
                <c:formatCode>"$"#,##0_);[Red]\("$"#,##0\)</c:formatCode>
                <c:ptCount val="4"/>
                <c:pt idx="0" formatCode="#,##0">
                  <c:v>3401</c:v>
                </c:pt>
                <c:pt idx="1">
                  <c:v>60522097</c:v>
                </c:pt>
                <c:pt idx="2" formatCode=";;;">
                  <c:v>25568251</c:v>
                </c:pt>
                <c:pt idx="3" formatCode=";;;">
                  <c:v>892</c:v>
                </c:pt>
              </c:numCache>
            </c:numRef>
          </c:yVal>
          <c:smooth val="0"/>
        </c:ser>
        <c:ser>
          <c:idx val="60"/>
          <c:order val="6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60000"/>
                      </a:srgbClr>
                    </a:solidFill>
                  </a14:hiddenFill>
                </a:ext>
              </a:extLst>
            </c:spPr>
          </c:marker>
          <c:yVal>
            <c:numRef>
              <c:f>Charting!$H$62:$K$62</c:f>
              <c:numCache>
                <c:formatCode>"$"#,##0_);[Red]\("$"#,##0\)</c:formatCode>
                <c:ptCount val="4"/>
                <c:pt idx="0" formatCode="#,##0">
                  <c:v>2922</c:v>
                </c:pt>
                <c:pt idx="1">
                  <c:v>58236838</c:v>
                </c:pt>
                <c:pt idx="2" formatCode=";;;">
                  <c:v>25568251</c:v>
                </c:pt>
                <c:pt idx="3" formatCode=";;;">
                  <c:v>892</c:v>
                </c:pt>
              </c:numCache>
            </c:numRef>
          </c:yVal>
          <c:smooth val="0"/>
        </c:ser>
        <c:ser>
          <c:idx val="61"/>
          <c:order val="6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60000"/>
                      </a:srgbClr>
                    </a:solidFill>
                  </a14:hiddenFill>
                </a:ext>
              </a:extLst>
            </c:spPr>
          </c:marker>
          <c:yVal>
            <c:numRef>
              <c:f>Charting!$H$63:$K$63</c:f>
              <c:numCache>
                <c:formatCode>"$"#,##0_);[Red]\("$"#,##0\)</c:formatCode>
                <c:ptCount val="4"/>
                <c:pt idx="0" formatCode="#,##0">
                  <c:v>3353</c:v>
                </c:pt>
                <c:pt idx="1">
                  <c:v>57012977</c:v>
                </c:pt>
                <c:pt idx="2" formatCode=";;;">
                  <c:v>25568251</c:v>
                </c:pt>
                <c:pt idx="3" formatCode=";;;">
                  <c:v>892</c:v>
                </c:pt>
              </c:numCache>
            </c:numRef>
          </c:yVal>
          <c:smooth val="0"/>
        </c:ser>
        <c:ser>
          <c:idx val="62"/>
          <c:order val="6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60000"/>
                      </a:srgbClr>
                    </a:solidFill>
                  </a14:hiddenFill>
                </a:ext>
              </a:extLst>
            </c:spPr>
          </c:marker>
          <c:yVal>
            <c:numRef>
              <c:f>Charting!$H$64:$K$64</c:f>
              <c:numCache>
                <c:formatCode>"$"#,##0_);[Red]\("$"#,##0\)</c:formatCode>
                <c:ptCount val="4"/>
                <c:pt idx="0" formatCode="#,##0">
                  <c:v>1474</c:v>
                </c:pt>
                <c:pt idx="1">
                  <c:v>56671993</c:v>
                </c:pt>
                <c:pt idx="2" formatCode=";;;">
                  <c:v>25568251</c:v>
                </c:pt>
                <c:pt idx="3" formatCode=";;;">
                  <c:v>892</c:v>
                </c:pt>
              </c:numCache>
            </c:numRef>
          </c:yVal>
          <c:smooth val="0"/>
        </c:ser>
        <c:ser>
          <c:idx val="63"/>
          <c:order val="6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60000"/>
                      </a:srgbClr>
                    </a:solidFill>
                  </a14:hiddenFill>
                </a:ext>
              </a:extLst>
            </c:spPr>
          </c:marker>
          <c:yVal>
            <c:numRef>
              <c:f>Charting!$H$65:$K$65</c:f>
              <c:numCache>
                <c:formatCode>"$"#,##0_);[Red]\("$"#,##0\)</c:formatCode>
                <c:ptCount val="4"/>
                <c:pt idx="0" formatCode="#,##0">
                  <c:v>3736</c:v>
                </c:pt>
                <c:pt idx="1">
                  <c:v>55750480</c:v>
                </c:pt>
                <c:pt idx="2" formatCode=";;;">
                  <c:v>25568251</c:v>
                </c:pt>
                <c:pt idx="3" formatCode=";;;">
                  <c:v>892</c:v>
                </c:pt>
              </c:numCache>
            </c:numRef>
          </c:yVal>
          <c:smooth val="0"/>
        </c:ser>
        <c:ser>
          <c:idx val="64"/>
          <c:order val="6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60000"/>
                      </a:srgbClr>
                    </a:solidFill>
                  </a14:hiddenFill>
                </a:ext>
              </a:extLst>
            </c:spPr>
          </c:marker>
          <c:yVal>
            <c:numRef>
              <c:f>Charting!$H$66:$K$66</c:f>
              <c:numCache>
                <c:formatCode>"$"#,##0_);[Red]\("$"#,##0\)</c:formatCode>
                <c:ptCount val="4"/>
                <c:pt idx="0" formatCode="#,##0">
                  <c:v>3375</c:v>
                </c:pt>
                <c:pt idx="1">
                  <c:v>55703475</c:v>
                </c:pt>
                <c:pt idx="2" formatCode=";;;">
                  <c:v>25568251</c:v>
                </c:pt>
                <c:pt idx="3" formatCode=";;;">
                  <c:v>892</c:v>
                </c:pt>
              </c:numCache>
            </c:numRef>
          </c:yVal>
          <c:smooth val="0"/>
        </c:ser>
        <c:ser>
          <c:idx val="65"/>
          <c:order val="6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60000"/>
                      </a:srgbClr>
                    </a:solidFill>
                  </a14:hiddenFill>
                </a:ext>
              </a:extLst>
            </c:spPr>
          </c:marker>
          <c:yVal>
            <c:numRef>
              <c:f>Charting!$H$67:$K$67</c:f>
              <c:numCache>
                <c:formatCode>"$"#,##0_);[Red]\("$"#,##0\)</c:formatCode>
                <c:ptCount val="4"/>
                <c:pt idx="0" formatCode="#,##0">
                  <c:v>3025</c:v>
                </c:pt>
                <c:pt idx="1">
                  <c:v>54239856</c:v>
                </c:pt>
                <c:pt idx="2" formatCode=";;;">
                  <c:v>25568251</c:v>
                </c:pt>
                <c:pt idx="3" formatCode=";;;">
                  <c:v>892</c:v>
                </c:pt>
              </c:numCache>
            </c:numRef>
          </c:yVal>
          <c:smooth val="0"/>
        </c:ser>
        <c:ser>
          <c:idx val="66"/>
          <c:order val="6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80000"/>
                        <a:lumOff val="20000"/>
                      </a:srgbClr>
                    </a:solidFill>
                  </a14:hiddenFill>
                </a:ext>
              </a:extLst>
            </c:spPr>
          </c:marker>
          <c:yVal>
            <c:numRef>
              <c:f>Charting!$H$68:$K$68</c:f>
              <c:numCache>
                <c:formatCode>"$"#,##0_);[Red]\("$"#,##0\)</c:formatCode>
                <c:ptCount val="4"/>
                <c:pt idx="0" formatCode="#,##0">
                  <c:v>3016</c:v>
                </c:pt>
                <c:pt idx="1">
                  <c:v>53262560</c:v>
                </c:pt>
                <c:pt idx="2" formatCode=";;;">
                  <c:v>25568251</c:v>
                </c:pt>
                <c:pt idx="3" formatCode=";;;">
                  <c:v>892</c:v>
                </c:pt>
              </c:numCache>
            </c:numRef>
          </c:yVal>
          <c:smooth val="0"/>
        </c:ser>
        <c:ser>
          <c:idx val="67"/>
          <c:order val="6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80000"/>
                        <a:lumOff val="20000"/>
                      </a:srgbClr>
                    </a:solidFill>
                  </a14:hiddenFill>
                </a:ext>
              </a:extLst>
            </c:spPr>
          </c:marker>
          <c:yVal>
            <c:numRef>
              <c:f>Charting!$H$69:$K$69</c:f>
              <c:numCache>
                <c:formatCode>"$"#,##0_);[Red]\("$"#,##0\)</c:formatCode>
                <c:ptCount val="4"/>
                <c:pt idx="0" formatCode="#,##0">
                  <c:v>2194</c:v>
                </c:pt>
                <c:pt idx="1">
                  <c:v>52543354</c:v>
                </c:pt>
                <c:pt idx="2" formatCode=";;;">
                  <c:v>25568251</c:v>
                </c:pt>
                <c:pt idx="3" formatCode=";;;">
                  <c:v>892</c:v>
                </c:pt>
              </c:numCache>
            </c:numRef>
          </c:yVal>
          <c:smooth val="0"/>
        </c:ser>
        <c:ser>
          <c:idx val="68"/>
          <c:order val="6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80000"/>
                        <a:lumOff val="20000"/>
                      </a:srgbClr>
                    </a:solidFill>
                  </a14:hiddenFill>
                </a:ext>
              </a:extLst>
            </c:spPr>
          </c:marker>
          <c:yVal>
            <c:numRef>
              <c:f>Charting!$H$70:$K$70</c:f>
              <c:numCache>
                <c:formatCode>"$"#,##0_);[Red]\("$"#,##0\)</c:formatCode>
                <c:ptCount val="4"/>
                <c:pt idx="0" formatCode="#,##0">
                  <c:v>2047</c:v>
                </c:pt>
                <c:pt idx="1">
                  <c:v>51975354</c:v>
                </c:pt>
                <c:pt idx="2" formatCode=";;;">
                  <c:v>25568251</c:v>
                </c:pt>
                <c:pt idx="3" formatCode=";;;">
                  <c:v>892</c:v>
                </c:pt>
              </c:numCache>
            </c:numRef>
          </c:yVal>
          <c:smooth val="0"/>
        </c:ser>
        <c:ser>
          <c:idx val="69"/>
          <c:order val="6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80000"/>
                        <a:lumOff val="20000"/>
                      </a:srgbClr>
                    </a:solidFill>
                  </a14:hiddenFill>
                </a:ext>
              </a:extLst>
            </c:spPr>
          </c:marker>
          <c:yVal>
            <c:numRef>
              <c:f>Charting!$H$71:$K$71</c:f>
              <c:numCache>
                <c:formatCode>"$"#,##0_);[Red]\("$"#,##0\)</c:formatCode>
                <c:ptCount val="4"/>
                <c:pt idx="0" formatCode="#,##0">
                  <c:v>2507</c:v>
                </c:pt>
                <c:pt idx="1">
                  <c:v>51872378</c:v>
                </c:pt>
                <c:pt idx="2" formatCode=";;;">
                  <c:v>25568251</c:v>
                </c:pt>
                <c:pt idx="3" formatCode=";;;">
                  <c:v>892</c:v>
                </c:pt>
              </c:numCache>
            </c:numRef>
          </c:yVal>
          <c:smooth val="0"/>
        </c:ser>
        <c:ser>
          <c:idx val="70"/>
          <c:order val="7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80000"/>
                        <a:lumOff val="20000"/>
                      </a:srgbClr>
                    </a:solidFill>
                  </a14:hiddenFill>
                </a:ext>
              </a:extLst>
            </c:spPr>
          </c:marker>
          <c:yVal>
            <c:numRef>
              <c:f>Charting!$H$72:$K$72</c:f>
              <c:numCache>
                <c:formatCode>"$"#,##0_);[Red]\("$"#,##0\)</c:formatCode>
                <c:ptCount val="4"/>
                <c:pt idx="0" formatCode="#,##0">
                  <c:v>3303</c:v>
                </c:pt>
                <c:pt idx="1">
                  <c:v>49875291</c:v>
                </c:pt>
                <c:pt idx="2" formatCode=";;;">
                  <c:v>25568251</c:v>
                </c:pt>
                <c:pt idx="3" formatCode=";;;">
                  <c:v>892</c:v>
                </c:pt>
              </c:numCache>
            </c:numRef>
          </c:yVal>
          <c:smooth val="0"/>
        </c:ser>
        <c:ser>
          <c:idx val="71"/>
          <c:order val="7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80000"/>
                        <a:lumOff val="20000"/>
                      </a:srgbClr>
                    </a:solidFill>
                  </a14:hiddenFill>
                </a:ext>
              </a:extLst>
            </c:spPr>
          </c:marker>
          <c:yVal>
            <c:numRef>
              <c:f>Charting!$H$73:$K$73</c:f>
              <c:numCache>
                <c:formatCode>"$"#,##0_);[Red]\("$"#,##0\)</c:formatCode>
                <c:ptCount val="4"/>
                <c:pt idx="0" formatCode="#,##0">
                  <c:v>3103</c:v>
                </c:pt>
                <c:pt idx="1">
                  <c:v>46000903</c:v>
                </c:pt>
                <c:pt idx="2" formatCode=";;;">
                  <c:v>25568251</c:v>
                </c:pt>
                <c:pt idx="3" formatCode=";;;">
                  <c:v>892</c:v>
                </c:pt>
              </c:numCache>
            </c:numRef>
          </c:yVal>
          <c:smooth val="0"/>
        </c:ser>
        <c:ser>
          <c:idx val="72"/>
          <c:order val="7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80000"/>
                      </a:srgbClr>
                    </a:solidFill>
                  </a14:hiddenFill>
                </a:ext>
              </a:extLst>
            </c:spPr>
          </c:marker>
          <c:yVal>
            <c:numRef>
              <c:f>Charting!$H$74:$K$74</c:f>
              <c:numCache>
                <c:formatCode>"$"#,##0_);[Red]\("$"#,##0\)</c:formatCode>
                <c:ptCount val="4"/>
                <c:pt idx="0" formatCode="#,##0">
                  <c:v>2778</c:v>
                </c:pt>
                <c:pt idx="1">
                  <c:v>45385935</c:v>
                </c:pt>
                <c:pt idx="2" formatCode=";;;">
                  <c:v>25568251</c:v>
                </c:pt>
                <c:pt idx="3" formatCode=";;;">
                  <c:v>892</c:v>
                </c:pt>
              </c:numCache>
            </c:numRef>
          </c:yVal>
          <c:smooth val="0"/>
        </c:ser>
        <c:ser>
          <c:idx val="73"/>
          <c:order val="7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80000"/>
                      </a:srgbClr>
                    </a:solidFill>
                  </a14:hiddenFill>
                </a:ext>
              </a:extLst>
            </c:spPr>
          </c:marker>
          <c:yVal>
            <c:numRef>
              <c:f>Charting!$H$75:$K$75</c:f>
              <c:numCache>
                <c:formatCode>"$"#,##0_);[Red]\("$"#,##0\)</c:formatCode>
                <c:ptCount val="4"/>
                <c:pt idx="0" formatCode="#,##0">
                  <c:v>3399</c:v>
                </c:pt>
                <c:pt idx="1">
                  <c:v>44672764</c:v>
                </c:pt>
                <c:pt idx="2" formatCode=";;;">
                  <c:v>25568251</c:v>
                </c:pt>
                <c:pt idx="3" formatCode=";;;">
                  <c:v>892</c:v>
                </c:pt>
              </c:numCache>
            </c:numRef>
          </c:yVal>
          <c:smooth val="0"/>
        </c:ser>
        <c:ser>
          <c:idx val="74"/>
          <c:order val="7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80000"/>
                      </a:srgbClr>
                    </a:solidFill>
                  </a14:hiddenFill>
                </a:ext>
              </a:extLst>
            </c:spPr>
          </c:marker>
          <c:yVal>
            <c:numRef>
              <c:f>Charting!$H$76:$K$76</c:f>
              <c:numCache>
                <c:formatCode>"$"#,##0_);[Red]\("$"#,##0\)</c:formatCode>
                <c:ptCount val="4"/>
                <c:pt idx="0" formatCode="#,##0">
                  <c:v>978</c:v>
                </c:pt>
                <c:pt idx="1">
                  <c:v>44467206</c:v>
                </c:pt>
                <c:pt idx="2" formatCode=";;;">
                  <c:v>25568251</c:v>
                </c:pt>
                <c:pt idx="3" formatCode=";;;">
                  <c:v>892</c:v>
                </c:pt>
              </c:numCache>
            </c:numRef>
          </c:yVal>
          <c:smooth val="0"/>
        </c:ser>
        <c:ser>
          <c:idx val="75"/>
          <c:order val="7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80000"/>
                      </a:srgbClr>
                    </a:solidFill>
                  </a14:hiddenFill>
                </a:ext>
              </a:extLst>
            </c:spPr>
          </c:marker>
          <c:yVal>
            <c:numRef>
              <c:f>Charting!$H$77:$K$77</c:f>
              <c:numCache>
                <c:formatCode>"$"#,##0_);[Red]\("$"#,##0\)</c:formatCode>
                <c:ptCount val="4"/>
                <c:pt idx="0" formatCode="#,##0">
                  <c:v>2511</c:v>
                </c:pt>
                <c:pt idx="1">
                  <c:v>42930462</c:v>
                </c:pt>
                <c:pt idx="2" formatCode=";;;">
                  <c:v>25568251</c:v>
                </c:pt>
                <c:pt idx="3" formatCode=";;;">
                  <c:v>892</c:v>
                </c:pt>
              </c:numCache>
            </c:numRef>
          </c:yVal>
          <c:smooth val="0"/>
        </c:ser>
        <c:ser>
          <c:idx val="76"/>
          <c:order val="7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80000"/>
                      </a:srgbClr>
                    </a:solidFill>
                  </a14:hiddenFill>
                </a:ext>
              </a:extLst>
            </c:spPr>
          </c:marker>
          <c:yVal>
            <c:numRef>
              <c:f>Charting!$H$78:$K$78</c:f>
              <c:numCache>
                <c:formatCode>"$"#,##0_);[Red]\("$"#,##0\)</c:formatCode>
                <c:ptCount val="4"/>
                <c:pt idx="0" formatCode="#,##0">
                  <c:v>3117</c:v>
                </c:pt>
                <c:pt idx="1">
                  <c:v>42025135</c:v>
                </c:pt>
                <c:pt idx="2" formatCode=";;;">
                  <c:v>25568251</c:v>
                </c:pt>
                <c:pt idx="3" formatCode=";;;">
                  <c:v>892</c:v>
                </c:pt>
              </c:numCache>
            </c:numRef>
          </c:yVal>
          <c:smooth val="0"/>
        </c:ser>
        <c:ser>
          <c:idx val="77"/>
          <c:order val="7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80000"/>
                      </a:srgbClr>
                    </a:solidFill>
                  </a14:hiddenFill>
                </a:ext>
              </a:extLst>
            </c:spPr>
          </c:marker>
          <c:yVal>
            <c:numRef>
              <c:f>Charting!$H$79:$K$79</c:f>
              <c:numCache>
                <c:formatCode>"$"#,##0_);[Red]\("$"#,##0\)</c:formatCode>
                <c:ptCount val="4"/>
                <c:pt idx="0" formatCode="#,##0">
                  <c:v>2160</c:v>
                </c:pt>
                <c:pt idx="1">
                  <c:v>40041683</c:v>
                </c:pt>
                <c:pt idx="2" formatCode=";;;">
                  <c:v>25568251</c:v>
                </c:pt>
                <c:pt idx="3" formatCode=";;;">
                  <c:v>892</c:v>
                </c:pt>
              </c:numCache>
            </c:numRef>
          </c:yVal>
          <c:smooth val="0"/>
        </c:ser>
        <c:ser>
          <c:idx val="78"/>
          <c:order val="7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60000"/>
                        <a:lumOff val="40000"/>
                      </a:srgbClr>
                    </a:solidFill>
                  </a14:hiddenFill>
                </a:ext>
              </a:extLst>
            </c:spPr>
          </c:marker>
          <c:yVal>
            <c:numRef>
              <c:f>Charting!$H$80:$K$80</c:f>
              <c:numCache>
                <c:formatCode>"$"#,##0_);[Red]\("$"#,##0\)</c:formatCode>
                <c:ptCount val="4"/>
                <c:pt idx="0" formatCode="#,##0">
                  <c:v>2690</c:v>
                </c:pt>
                <c:pt idx="1">
                  <c:v>38362475</c:v>
                </c:pt>
                <c:pt idx="2" formatCode=";;;">
                  <c:v>25568251</c:v>
                </c:pt>
                <c:pt idx="3" formatCode=";;;">
                  <c:v>892</c:v>
                </c:pt>
              </c:numCache>
            </c:numRef>
          </c:yVal>
          <c:smooth val="0"/>
        </c:ser>
        <c:ser>
          <c:idx val="79"/>
          <c:order val="7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60000"/>
                        <a:lumOff val="40000"/>
                      </a:srgbClr>
                    </a:solidFill>
                  </a14:hiddenFill>
                </a:ext>
              </a:extLst>
            </c:spPr>
          </c:marker>
          <c:yVal>
            <c:numRef>
              <c:f>Charting!$H$81:$K$81</c:f>
              <c:numCache>
                <c:formatCode>"$"#,##0_);[Red]\("$"#,##0\)</c:formatCode>
                <c:ptCount val="4"/>
                <c:pt idx="0" formatCode="#,##0">
                  <c:v>2411</c:v>
                </c:pt>
                <c:pt idx="1">
                  <c:v>37738810</c:v>
                </c:pt>
                <c:pt idx="2" formatCode=";;;">
                  <c:v>25568251</c:v>
                </c:pt>
                <c:pt idx="3" formatCode=";;;">
                  <c:v>892</c:v>
                </c:pt>
              </c:numCache>
            </c:numRef>
          </c:yVal>
          <c:smooth val="0"/>
        </c:ser>
        <c:ser>
          <c:idx val="80"/>
          <c:order val="8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60000"/>
                        <a:lumOff val="40000"/>
                      </a:srgbClr>
                    </a:solidFill>
                  </a14:hiddenFill>
                </a:ext>
              </a:extLst>
            </c:spPr>
          </c:marker>
          <c:yVal>
            <c:numRef>
              <c:f>Charting!$H$82:$K$82</c:f>
              <c:numCache>
                <c:formatCode>"$"#,##0_);[Red]\("$"#,##0\)</c:formatCode>
                <c:ptCount val="4"/>
                <c:pt idx="0" formatCode="#,##0">
                  <c:v>1225</c:v>
                </c:pt>
                <c:pt idx="1">
                  <c:v>37709979</c:v>
                </c:pt>
                <c:pt idx="2" formatCode=";;;">
                  <c:v>25568251</c:v>
                </c:pt>
                <c:pt idx="3" formatCode=";;;">
                  <c:v>892</c:v>
                </c:pt>
              </c:numCache>
            </c:numRef>
          </c:yVal>
          <c:smooth val="0"/>
        </c:ser>
        <c:ser>
          <c:idx val="81"/>
          <c:order val="8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60000"/>
                        <a:lumOff val="40000"/>
                      </a:srgbClr>
                    </a:solidFill>
                  </a14:hiddenFill>
                </a:ext>
              </a:extLst>
            </c:spPr>
          </c:marker>
          <c:yVal>
            <c:numRef>
              <c:f>Charting!$H$83:$K$83</c:f>
              <c:numCache>
                <c:formatCode>"$"#,##0_);[Red]\("$"#,##0\)</c:formatCode>
                <c:ptCount val="4"/>
                <c:pt idx="0" formatCode="#,##0">
                  <c:v>3091</c:v>
                </c:pt>
                <c:pt idx="1">
                  <c:v>36918811</c:v>
                </c:pt>
                <c:pt idx="2" formatCode=";;;">
                  <c:v>25568251</c:v>
                </c:pt>
                <c:pt idx="3" formatCode=";;;">
                  <c:v>892</c:v>
                </c:pt>
              </c:numCache>
            </c:numRef>
          </c:yVal>
          <c:smooth val="0"/>
        </c:ser>
        <c:ser>
          <c:idx val="82"/>
          <c:order val="8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60000"/>
                        <a:lumOff val="40000"/>
                      </a:srgbClr>
                    </a:solidFill>
                  </a14:hiddenFill>
                </a:ext>
              </a:extLst>
            </c:spPr>
          </c:marker>
          <c:yVal>
            <c:numRef>
              <c:f>Charting!$H$84:$K$84</c:f>
              <c:numCache>
                <c:formatCode>"$"#,##0_);[Red]\("$"#,##0\)</c:formatCode>
                <c:ptCount val="4"/>
                <c:pt idx="0" formatCode="#,##0">
                  <c:v>3243</c:v>
                </c:pt>
                <c:pt idx="1">
                  <c:v>36076121</c:v>
                </c:pt>
                <c:pt idx="2" formatCode=";;;">
                  <c:v>25568251</c:v>
                </c:pt>
                <c:pt idx="3" formatCode=";;;">
                  <c:v>892</c:v>
                </c:pt>
              </c:numCache>
            </c:numRef>
          </c:yVal>
          <c:smooth val="0"/>
        </c:ser>
        <c:ser>
          <c:idx val="83"/>
          <c:order val="8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60000"/>
                        <a:lumOff val="40000"/>
                      </a:srgbClr>
                    </a:solidFill>
                  </a14:hiddenFill>
                </a:ext>
              </a:extLst>
            </c:spPr>
          </c:marker>
          <c:yVal>
            <c:numRef>
              <c:f>Charting!$H$85:$K$85</c:f>
              <c:numCache>
                <c:formatCode>"$"#,##0_);[Red]\("$"#,##0\)</c:formatCode>
                <c:ptCount val="4"/>
                <c:pt idx="0" formatCode="#,##0">
                  <c:v>3157</c:v>
                </c:pt>
                <c:pt idx="1">
                  <c:v>35266619</c:v>
                </c:pt>
                <c:pt idx="2" formatCode=";;;">
                  <c:v>25568251</c:v>
                </c:pt>
                <c:pt idx="3" formatCode=";;;">
                  <c:v>892</c:v>
                </c:pt>
              </c:numCache>
            </c:numRef>
          </c:yVal>
          <c:smooth val="0"/>
        </c:ser>
        <c:ser>
          <c:idx val="84"/>
          <c:order val="8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50000"/>
                      </a:srgbClr>
                    </a:solidFill>
                  </a14:hiddenFill>
                </a:ext>
              </a:extLst>
            </c:spPr>
          </c:marker>
          <c:yVal>
            <c:numRef>
              <c:f>Charting!$H$86:$K$86</c:f>
              <c:numCache>
                <c:formatCode>"$"#,##0_);[Red]\("$"#,##0\)</c:formatCode>
                <c:ptCount val="4"/>
                <c:pt idx="0" formatCode="#,##0">
                  <c:v>2659</c:v>
                </c:pt>
                <c:pt idx="1">
                  <c:v>34341945</c:v>
                </c:pt>
                <c:pt idx="2" formatCode=";;;">
                  <c:v>25568251</c:v>
                </c:pt>
                <c:pt idx="3" formatCode=";;;">
                  <c:v>892</c:v>
                </c:pt>
              </c:numCache>
            </c:numRef>
          </c:yVal>
          <c:smooth val="0"/>
        </c:ser>
        <c:ser>
          <c:idx val="85"/>
          <c:order val="8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50000"/>
                      </a:srgbClr>
                    </a:solidFill>
                  </a14:hiddenFill>
                </a:ext>
              </a:extLst>
            </c:spPr>
          </c:marker>
          <c:yVal>
            <c:numRef>
              <c:f>Charting!$H$87:$K$87</c:f>
              <c:numCache>
                <c:formatCode>"$"#,##0_);[Red]\("$"#,##0\)</c:formatCode>
                <c:ptCount val="4"/>
                <c:pt idx="0" formatCode="#,##0">
                  <c:v>2852</c:v>
                </c:pt>
                <c:pt idx="1">
                  <c:v>33618855</c:v>
                </c:pt>
                <c:pt idx="2" formatCode=";;;">
                  <c:v>25568251</c:v>
                </c:pt>
                <c:pt idx="3" formatCode=";;;">
                  <c:v>892</c:v>
                </c:pt>
              </c:numCache>
            </c:numRef>
          </c:yVal>
          <c:smooth val="0"/>
        </c:ser>
        <c:ser>
          <c:idx val="86"/>
          <c:order val="8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50000"/>
                      </a:srgbClr>
                    </a:solidFill>
                  </a14:hiddenFill>
                </a:ext>
              </a:extLst>
            </c:spPr>
          </c:marker>
          <c:yVal>
            <c:numRef>
              <c:f>Charting!$H$88:$K$88</c:f>
              <c:numCache>
                <c:formatCode>"$"#,##0_);[Red]\("$"#,##0\)</c:formatCode>
                <c:ptCount val="4"/>
                <c:pt idx="0" formatCode="#,##0">
                  <c:v>1283</c:v>
                </c:pt>
                <c:pt idx="1">
                  <c:v>33405481</c:v>
                </c:pt>
                <c:pt idx="2" formatCode=";;;">
                  <c:v>25568251</c:v>
                </c:pt>
                <c:pt idx="3" formatCode=";;;">
                  <c:v>892</c:v>
                </c:pt>
              </c:numCache>
            </c:numRef>
          </c:yVal>
          <c:smooth val="0"/>
        </c:ser>
        <c:ser>
          <c:idx val="87"/>
          <c:order val="8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50000"/>
                      </a:srgbClr>
                    </a:solidFill>
                  </a14:hiddenFill>
                </a:ext>
              </a:extLst>
            </c:spPr>
          </c:marker>
          <c:yVal>
            <c:numRef>
              <c:f>Charting!$H$89:$K$89</c:f>
              <c:numCache>
                <c:formatCode>"$"#,##0_);[Red]\("$"#,##0\)</c:formatCode>
                <c:ptCount val="4"/>
                <c:pt idx="0" formatCode="#,##0">
                  <c:v>892</c:v>
                </c:pt>
                <c:pt idx="1">
                  <c:v>32244051</c:v>
                </c:pt>
                <c:pt idx="2" formatCode=";;;">
                  <c:v>25568251</c:v>
                </c:pt>
                <c:pt idx="3" formatCode=";;;">
                  <c:v>892</c:v>
                </c:pt>
              </c:numCache>
            </c:numRef>
          </c:yVal>
          <c:smooth val="0"/>
        </c:ser>
        <c:ser>
          <c:idx val="88"/>
          <c:order val="8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50000"/>
                      </a:srgbClr>
                    </a:solidFill>
                  </a14:hiddenFill>
                </a:ext>
              </a:extLst>
            </c:spPr>
          </c:marker>
          <c:yVal>
            <c:numRef>
              <c:f>Charting!$H$90:$K$90</c:f>
              <c:numCache>
                <c:formatCode>"$"#,##0_);[Red]\("$"#,##0\)</c:formatCode>
                <c:ptCount val="4"/>
                <c:pt idx="0" formatCode="#,##0">
                  <c:v>2605</c:v>
                </c:pt>
                <c:pt idx="1">
                  <c:v>32172757</c:v>
                </c:pt>
                <c:pt idx="2" formatCode=";;;">
                  <c:v>25568251</c:v>
                </c:pt>
                <c:pt idx="3" formatCode=";;;">
                  <c:v>892</c:v>
                </c:pt>
              </c:numCache>
            </c:numRef>
          </c:yVal>
          <c:smooth val="0"/>
        </c:ser>
        <c:ser>
          <c:idx val="89"/>
          <c:order val="8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50000"/>
                      </a:srgbClr>
                    </a:solidFill>
                  </a14:hiddenFill>
                </a:ext>
              </a:extLst>
            </c:spPr>
          </c:marker>
          <c:yVal>
            <c:numRef>
              <c:f>Charting!$H$91:$K$91</c:f>
              <c:numCache>
                <c:formatCode>"$"#,##0_);[Red]\("$"#,##0\)</c:formatCode>
                <c:ptCount val="4"/>
                <c:pt idx="0" formatCode="#,##0">
                  <c:v>3402</c:v>
                </c:pt>
                <c:pt idx="1">
                  <c:v>32015787</c:v>
                </c:pt>
                <c:pt idx="2" formatCode=";;;">
                  <c:v>25568251</c:v>
                </c:pt>
                <c:pt idx="3" formatCode=";;;">
                  <c:v>892</c:v>
                </c:pt>
              </c:numCache>
            </c:numRef>
          </c:yVal>
          <c:smooth val="0"/>
        </c:ser>
        <c:ser>
          <c:idx val="90"/>
          <c:order val="90"/>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70000"/>
                        <a:lumOff val="30000"/>
                      </a:srgbClr>
                    </a:solidFill>
                  </a14:hiddenFill>
                </a:ext>
              </a:extLst>
            </c:spPr>
          </c:marker>
          <c:yVal>
            <c:numRef>
              <c:f>Charting!$H$92:$K$92</c:f>
              <c:numCache>
                <c:formatCode>"$"#,##0_);[Red]\("$"#,##0\)</c:formatCode>
                <c:ptCount val="4"/>
                <c:pt idx="0" formatCode="#,##0">
                  <c:v>3118</c:v>
                </c:pt>
                <c:pt idx="1">
                  <c:v>31165421</c:v>
                </c:pt>
                <c:pt idx="2" formatCode=";;;">
                  <c:v>25568251</c:v>
                </c:pt>
                <c:pt idx="3" formatCode=";;;">
                  <c:v>892</c:v>
                </c:pt>
              </c:numCache>
            </c:numRef>
          </c:yVal>
          <c:smooth val="0"/>
        </c:ser>
        <c:ser>
          <c:idx val="91"/>
          <c:order val="91"/>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70000"/>
                        <a:lumOff val="30000"/>
                      </a:srgbClr>
                    </a:solidFill>
                  </a14:hiddenFill>
                </a:ext>
              </a:extLst>
            </c:spPr>
          </c:marker>
          <c:yVal>
            <c:numRef>
              <c:f>Charting!$H$93:$K$93</c:f>
              <c:numCache>
                <c:formatCode>"$"#,##0_);[Red]\("$"#,##0\)</c:formatCode>
                <c:ptCount val="4"/>
                <c:pt idx="0" formatCode="#,##0">
                  <c:v>3036</c:v>
                </c:pt>
                <c:pt idx="1">
                  <c:v>30664106</c:v>
                </c:pt>
                <c:pt idx="2" formatCode=";;;">
                  <c:v>25568251</c:v>
                </c:pt>
                <c:pt idx="3" formatCode=";;;">
                  <c:v>892</c:v>
                </c:pt>
              </c:numCache>
            </c:numRef>
          </c:yVal>
          <c:smooth val="0"/>
        </c:ser>
        <c:ser>
          <c:idx val="92"/>
          <c:order val="92"/>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70000"/>
                        <a:lumOff val="30000"/>
                      </a:srgbClr>
                    </a:solidFill>
                  </a14:hiddenFill>
                </a:ext>
              </a:extLst>
            </c:spPr>
          </c:marker>
          <c:yVal>
            <c:numRef>
              <c:f>Charting!$H$94:$K$94</c:f>
              <c:numCache>
                <c:formatCode>"$"#,##0_);[Red]\("$"#,##0\)</c:formatCode>
                <c:ptCount val="4"/>
                <c:pt idx="0" formatCode="#,##0">
                  <c:v>2856</c:v>
                </c:pt>
                <c:pt idx="1">
                  <c:v>29807260</c:v>
                </c:pt>
                <c:pt idx="2" formatCode=";;;">
                  <c:v>25568251</c:v>
                </c:pt>
                <c:pt idx="3" formatCode=";;;">
                  <c:v>892</c:v>
                </c:pt>
              </c:numCache>
            </c:numRef>
          </c:yVal>
          <c:smooth val="0"/>
        </c:ser>
        <c:ser>
          <c:idx val="93"/>
          <c:order val="93"/>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70000"/>
                        <a:lumOff val="30000"/>
                      </a:srgbClr>
                    </a:solidFill>
                  </a14:hiddenFill>
                </a:ext>
              </a:extLst>
            </c:spPr>
          </c:marker>
          <c:yVal>
            <c:numRef>
              <c:f>Charting!$H$95:$K$95</c:f>
              <c:numCache>
                <c:formatCode>"$"#,##0_);[Red]\("$"#,##0\)</c:formatCode>
                <c:ptCount val="4"/>
                <c:pt idx="0" formatCode="#,##0">
                  <c:v>2735</c:v>
                </c:pt>
                <c:pt idx="1">
                  <c:v>28873374</c:v>
                </c:pt>
                <c:pt idx="2" formatCode=";;;">
                  <c:v>25568251</c:v>
                </c:pt>
                <c:pt idx="3" formatCode=";;;">
                  <c:v>892</c:v>
                </c:pt>
              </c:numCache>
            </c:numRef>
          </c:yVal>
          <c:smooth val="0"/>
        </c:ser>
        <c:ser>
          <c:idx val="94"/>
          <c:order val="94"/>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4472C4">
                        <a:lumMod val="70000"/>
                        <a:lumOff val="30000"/>
                      </a:srgbClr>
                    </a:solidFill>
                  </a14:hiddenFill>
                </a:ext>
              </a:extLst>
            </c:spPr>
          </c:marker>
          <c:yVal>
            <c:numRef>
              <c:f>Charting!$H$96:$K$96</c:f>
              <c:numCache>
                <c:formatCode>"$"#,##0_);[Red]\("$"#,##0\)</c:formatCode>
                <c:ptCount val="4"/>
                <c:pt idx="0" formatCode="#,##0">
                  <c:v>2945</c:v>
                </c:pt>
                <c:pt idx="1">
                  <c:v>28795985</c:v>
                </c:pt>
                <c:pt idx="2" formatCode=";;;">
                  <c:v>25568251</c:v>
                </c:pt>
                <c:pt idx="3" formatCode=";;;">
                  <c:v>892</c:v>
                </c:pt>
              </c:numCache>
            </c:numRef>
          </c:yVal>
          <c:smooth val="0"/>
        </c:ser>
        <c:ser>
          <c:idx val="95"/>
          <c:order val="95"/>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70AD47">
                        <a:lumMod val="70000"/>
                        <a:lumOff val="30000"/>
                      </a:srgbClr>
                    </a:solidFill>
                  </a14:hiddenFill>
                </a:ext>
              </a:extLst>
            </c:spPr>
          </c:marker>
          <c:yVal>
            <c:numRef>
              <c:f>Charting!$H$97:$K$97</c:f>
              <c:numCache>
                <c:formatCode>"$"#,##0_);[Red]\("$"#,##0\)</c:formatCode>
                <c:ptCount val="4"/>
                <c:pt idx="0" formatCode="#,##0">
                  <c:v>1110</c:v>
                </c:pt>
                <c:pt idx="1">
                  <c:v>27298285</c:v>
                </c:pt>
                <c:pt idx="2" formatCode=";;;">
                  <c:v>25568251</c:v>
                </c:pt>
                <c:pt idx="3" formatCode=";;;">
                  <c:v>892</c:v>
                </c:pt>
              </c:numCache>
            </c:numRef>
          </c:yVal>
          <c:smooth val="0"/>
        </c:ser>
        <c:ser>
          <c:idx val="96"/>
          <c:order val="96"/>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5B9BD5">
                        <a:lumMod val="70000"/>
                      </a:srgbClr>
                    </a:solidFill>
                  </a14:hiddenFill>
                </a:ext>
              </a:extLst>
            </c:spPr>
          </c:marker>
          <c:yVal>
            <c:numRef>
              <c:f>Charting!$H$98:$K$98</c:f>
              <c:numCache>
                <c:formatCode>"$"#,##0_);[Red]\("$"#,##0\)</c:formatCode>
                <c:ptCount val="4"/>
                <c:pt idx="0" formatCode="#,##0">
                  <c:v>2308</c:v>
                </c:pt>
                <c:pt idx="1">
                  <c:v>26947624</c:v>
                </c:pt>
                <c:pt idx="2" formatCode=";;;">
                  <c:v>25568251</c:v>
                </c:pt>
                <c:pt idx="3" formatCode=";;;">
                  <c:v>892</c:v>
                </c:pt>
              </c:numCache>
            </c:numRef>
          </c:yVal>
          <c:smooth val="0"/>
        </c:ser>
        <c:ser>
          <c:idx val="97"/>
          <c:order val="97"/>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ED7D31">
                        <a:lumMod val="70000"/>
                      </a:srgbClr>
                    </a:solidFill>
                  </a14:hiddenFill>
                </a:ext>
              </a:extLst>
            </c:spPr>
          </c:marker>
          <c:yVal>
            <c:numRef>
              <c:f>Charting!$H$99:$K$99</c:f>
              <c:numCache>
                <c:formatCode>"$"#,##0_);[Red]\("$"#,##0\)</c:formatCode>
                <c:ptCount val="4"/>
                <c:pt idx="0" formatCode="#,##0">
                  <c:v>3202</c:v>
                </c:pt>
                <c:pt idx="1">
                  <c:v>26627201</c:v>
                </c:pt>
                <c:pt idx="2" formatCode=";;;">
                  <c:v>25568251</c:v>
                </c:pt>
                <c:pt idx="3" formatCode=";;;">
                  <c:v>892</c:v>
                </c:pt>
              </c:numCache>
            </c:numRef>
          </c:yVal>
          <c:smooth val="0"/>
        </c:ser>
        <c:ser>
          <c:idx val="98"/>
          <c:order val="98"/>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A5A5A5">
                        <a:lumMod val="70000"/>
                      </a:srgbClr>
                    </a:solidFill>
                  </a14:hiddenFill>
                </a:ext>
              </a:extLst>
            </c:spPr>
          </c:marker>
          <c:yVal>
            <c:numRef>
              <c:f>Charting!$H$100:$K$100</c:f>
              <c:numCache>
                <c:formatCode>"$"#,##0_);[Red]\("$"#,##0\)</c:formatCode>
                <c:ptCount val="4"/>
                <c:pt idx="0" formatCode="#,##0">
                  <c:v>1553</c:v>
                </c:pt>
                <c:pt idx="1">
                  <c:v>26004851</c:v>
                </c:pt>
                <c:pt idx="2" formatCode=";;;">
                  <c:v>25568251</c:v>
                </c:pt>
                <c:pt idx="3" formatCode=";;;">
                  <c:v>892</c:v>
                </c:pt>
              </c:numCache>
            </c:numRef>
          </c:yVal>
          <c:smooth val="0"/>
        </c:ser>
        <c:ser>
          <c:idx val="99"/>
          <c:order val="99"/>
          <c:spPr>
            <a:ln w="6350" cap="rnd" cmpd="sng" algn="ctr">
              <a:noFill/>
              <a:prstDash val="solid"/>
              <a:round/>
              <a:headEnd type="none" w="med" len="med"/>
              <a:tailEnd type="none" w="med" len="med"/>
            </a:ln>
            <a:effectLst/>
          </c:spPr>
          <c:marker>
            <c:symbol val="plus"/>
            <c:size val="8"/>
            <c:spPr>
              <a:noFill/>
              <a:ln w="6350" cap="rnd" cmpd="sng" algn="ctr">
                <a:solidFill>
                  <a:srgbClr val="000000">
                    <a:alpha val="23000"/>
                  </a:srgbClr>
                </a:solidFill>
                <a:prstDash val="solid"/>
                <a:round/>
                <a:headEnd type="none" w="med" len="med"/>
                <a:tailEnd type="none" w="med" len="med"/>
              </a:ln>
              <a:effectLst/>
              <a:extLst>
                <a:ext uri="{909E8E84-426E-40DD-AFC4-6F175D3DCCD1}">
                  <a14:hiddenFill xmlns:a14="http://schemas.microsoft.com/office/drawing/2010/main">
                    <a:solidFill>
                      <a:srgbClr val="FFC000">
                        <a:lumMod val="70000"/>
                      </a:srgbClr>
                    </a:solidFill>
                  </a14:hiddenFill>
                </a:ext>
              </a:extLst>
            </c:spPr>
          </c:marker>
          <c:yVal>
            <c:numRef>
              <c:f>Charting!$H$101:$K$101</c:f>
              <c:numCache>
                <c:formatCode>"$"#,##0_);[Red]\("$"#,##0\)</c:formatCode>
                <c:ptCount val="4"/>
                <c:pt idx="0" formatCode="#,##0">
                  <c:v>2771</c:v>
                </c:pt>
                <c:pt idx="1">
                  <c:v>25682380</c:v>
                </c:pt>
                <c:pt idx="2" formatCode=";;;">
                  <c:v>25568251</c:v>
                </c:pt>
                <c:pt idx="3" formatCode=";;;">
                  <c:v>892</c:v>
                </c:pt>
              </c:numCache>
            </c:numRef>
          </c:yVal>
          <c:smooth val="0"/>
        </c:ser>
        <c:ser>
          <c:idx val="100"/>
          <c:order val="100"/>
          <c:spPr>
            <a:ln w="6350" cap="rnd" cmpd="sng" algn="ctr">
              <a:noFill/>
              <a:prstDash val="solid"/>
              <a:round/>
              <a:headEnd type="none" w="med" len="med"/>
              <a:tailEnd type="none" w="med" len="med"/>
            </a:ln>
            <a:effectLst/>
          </c:spPr>
          <c:marker>
            <c:symbol val="plus"/>
            <c:size val="8"/>
            <c:spPr>
              <a:noFill/>
              <a:ln w="6350" cap="rnd" cmpd="sng" algn="ctr">
                <a:noFill/>
                <a:prstDash val="solid"/>
                <a:round/>
                <a:headEnd type="none" w="med" len="med"/>
                <a:tailEnd type="none" w="med" len="med"/>
              </a:ln>
              <a:effectLst/>
              <a:extLst>
                <a:ext uri="{909E8E84-426E-40DD-AFC4-6F175D3DCCD1}">
                  <a14:hiddenFill xmlns:a14="http://schemas.microsoft.com/office/drawing/2010/main">
                    <a:solidFill>
                      <a:srgbClr val="4472C4">
                        <a:lumMod val="70000"/>
                      </a:srgbClr>
                    </a:solidFill>
                  </a14:hiddenFill>
                </a:ext>
              </a:extLst>
            </c:spPr>
          </c:marker>
          <c:yVal>
            <c:numRef>
              <c:f>Charting!$H$102:$K$102</c:f>
              <c:numCache>
                <c:formatCode>"$"#,##0_);[Red]\("$"#,##0\)</c:formatCode>
                <c:ptCount val="4"/>
                <c:pt idx="0" formatCode="#,##0">
                  <c:v>1729</c:v>
                </c:pt>
                <c:pt idx="1">
                  <c:v>25568251</c:v>
                </c:pt>
                <c:pt idx="2" formatCode=";;;">
                  <c:v>25568251</c:v>
                </c:pt>
                <c:pt idx="3" formatCode=";;;">
                  <c:v>892</c:v>
                </c:pt>
              </c:numCache>
            </c:numRef>
          </c:yVal>
          <c:smooth val="0"/>
        </c:ser>
        <c:dLbls>
          <c:showLegendKey val="0"/>
          <c:showVal val="0"/>
          <c:showCatName val="0"/>
          <c:showSerName val="0"/>
          <c:showPercent val="0"/>
          <c:showBubbleSize val="0"/>
        </c:dLbls>
        <c:axId val="736729088"/>
        <c:axId val="736729648"/>
      </c:scatterChart>
      <c:valAx>
        <c:axId val="736729088"/>
        <c:scaling>
          <c:orientation val="minMax"/>
        </c:scaling>
        <c:delete val="0"/>
        <c:axPos val="b"/>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6729648"/>
        <c:crosses val="autoZero"/>
        <c:crossBetween val="midCat"/>
      </c:valAx>
      <c:valAx>
        <c:axId val="736729648"/>
        <c:scaling>
          <c:orientation val="minMax"/>
          <c:max val="424668047"/>
          <c:min val="25568251"/>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672908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noFill/>
              <a:latin typeface="+mn-lt"/>
              <a:ea typeface="+mn-ea"/>
              <a:cs typeface="+mn-cs"/>
            </a:defRPr>
          </a:pPr>
          <a:endParaRPr lang="en-US"/>
        </a:p>
      </c:txPr>
    </c:title>
    <c:autoTitleDeleted val="0"/>
    <c:plotArea>
      <c:layout/>
      <c:barChart>
        <c:barDir val="col"/>
        <c:grouping val="clustered"/>
        <c:varyColors val="0"/>
        <c:ser>
          <c:idx val="1"/>
          <c:order val="1"/>
          <c:tx>
            <c:strRef>
              <c:f>'Interactive Data &amp; Charting'!$T$8</c:f>
              <c:strCache>
                <c:ptCount val="1"/>
                <c:pt idx="0">
                  <c:v>Opening Gross</c:v>
                </c:pt>
              </c:strCache>
            </c:strRef>
          </c:tx>
          <c:spPr>
            <a:solidFill>
              <a:schemeClr val="accent5">
                <a:lumMod val="75000"/>
              </a:schemeClr>
            </a:solidFill>
            <a:ln>
              <a:noFill/>
            </a:ln>
            <a:effectLst/>
          </c:spPr>
          <c:invertIfNegative val="0"/>
          <c:dLbls>
            <c:delete val="1"/>
          </c:dLbls>
          <c:cat>
            <c:strRef>
              <c:extLst>
                <c:ext xmlns:c15="http://schemas.microsoft.com/office/drawing/2012/chart" uri="{02D57815-91ED-43cb-92C2-25804820EDAC}">
                  <c15:fullRef>
                    <c15:sqref>'Interactive Data &amp; Charting'!$O$9:$R$18</c15:sqref>
                  </c15:fullRef>
                  <c15:levelRef>
                    <c15:sqref>'Interactive Data &amp; Charting'!$P$9:$P$18</c15:sqref>
                  </c15:levelRef>
                </c:ext>
              </c:extLst>
              <c:f>'Interactive Data &amp; Charting'!$P$9:$P$18</c:f>
              <c:strCache>
                <c:ptCount val="10"/>
                <c:pt idx="0">
                  <c:v>The Hunger Games: Catching Fire</c:v>
                </c:pt>
                <c:pt idx="1">
                  <c:v>Iron Man 3</c:v>
                </c:pt>
                <c:pt idx="2">
                  <c:v>Frozen</c:v>
                </c:pt>
                <c:pt idx="3">
                  <c:v>Despicable Me 2</c:v>
                </c:pt>
                <c:pt idx="4">
                  <c:v>Man of Steel</c:v>
                </c:pt>
                <c:pt idx="5">
                  <c:v>Gravity</c:v>
                </c:pt>
                <c:pt idx="6">
                  <c:v>Monsters University</c:v>
                </c:pt>
                <c:pt idx="7">
                  <c:v>The Hobbit: The Desolation of Smaug</c:v>
                </c:pt>
                <c:pt idx="8">
                  <c:v>Fast &amp; Furious 6</c:v>
                </c:pt>
                <c:pt idx="9">
                  <c:v>Oz The Great and Powerful</c:v>
                </c:pt>
              </c:strCache>
            </c:strRef>
          </c:cat>
          <c:val>
            <c:numRef>
              <c:f>'Interactive Data &amp; Charting'!$T$9:$T$18</c:f>
              <c:numCache>
                <c:formatCode>"$"#,," M";</c:formatCode>
                <c:ptCount val="10"/>
                <c:pt idx="0">
                  <c:v>158074286</c:v>
                </c:pt>
                <c:pt idx="1">
                  <c:v>174144585</c:v>
                </c:pt>
                <c:pt idx="2">
                  <c:v>243390</c:v>
                </c:pt>
                <c:pt idx="3">
                  <c:v>83517315</c:v>
                </c:pt>
                <c:pt idx="4">
                  <c:v>116619362</c:v>
                </c:pt>
                <c:pt idx="5">
                  <c:v>55785112</c:v>
                </c:pt>
                <c:pt idx="6">
                  <c:v>82429469</c:v>
                </c:pt>
                <c:pt idx="7">
                  <c:v>73645197</c:v>
                </c:pt>
                <c:pt idx="8">
                  <c:v>97375245</c:v>
                </c:pt>
                <c:pt idx="9">
                  <c:v>79110453</c:v>
                </c:pt>
              </c:numCache>
            </c:numRef>
          </c:val>
        </c:ser>
        <c:ser>
          <c:idx val="4"/>
          <c:order val="4"/>
          <c:tx>
            <c:strRef>
              <c:f>'Interactive Data &amp; Charting'!$W$8</c:f>
              <c:strCache>
                <c:ptCount val="1"/>
                <c:pt idx="0">
                  <c:v>Total Gross</c:v>
                </c:pt>
              </c:strCache>
            </c:strRef>
          </c:tx>
          <c:spPr>
            <a:noFill/>
            <a:ln w="15875">
              <a:solidFill>
                <a:schemeClr val="accent5">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'Interactive Data &amp; Charting'!$O$9:$R$18</c15:sqref>
                  </c15:fullRef>
                  <c15:levelRef>
                    <c15:sqref>'Interactive Data &amp; Charting'!$P$9:$P$18</c15:sqref>
                  </c15:levelRef>
                </c:ext>
              </c:extLst>
              <c:f>'Interactive Data &amp; Charting'!$P$9:$P$18</c:f>
              <c:strCache>
                <c:ptCount val="10"/>
                <c:pt idx="0">
                  <c:v>The Hunger Games: Catching Fire</c:v>
                </c:pt>
                <c:pt idx="1">
                  <c:v>Iron Man 3</c:v>
                </c:pt>
                <c:pt idx="2">
                  <c:v>Frozen</c:v>
                </c:pt>
                <c:pt idx="3">
                  <c:v>Despicable Me 2</c:v>
                </c:pt>
                <c:pt idx="4">
                  <c:v>Man of Steel</c:v>
                </c:pt>
                <c:pt idx="5">
                  <c:v>Gravity</c:v>
                </c:pt>
                <c:pt idx="6">
                  <c:v>Monsters University</c:v>
                </c:pt>
                <c:pt idx="7">
                  <c:v>The Hobbit: The Desolation of Smaug</c:v>
                </c:pt>
                <c:pt idx="8">
                  <c:v>Fast &amp; Furious 6</c:v>
                </c:pt>
                <c:pt idx="9">
                  <c:v>Oz The Great and Powerful</c:v>
                </c:pt>
              </c:strCache>
            </c:strRef>
          </c:cat>
          <c:val>
            <c:numRef>
              <c:f>'Interactive Data &amp; Charting'!$W$9:$W$18</c:f>
              <c:numCache>
                <c:formatCode>"$"#,," M";</c:formatCode>
                <c:ptCount val="10"/>
                <c:pt idx="0">
                  <c:v>424668047</c:v>
                </c:pt>
                <c:pt idx="1">
                  <c:v>409013994</c:v>
                </c:pt>
                <c:pt idx="2">
                  <c:v>400738009</c:v>
                </c:pt>
                <c:pt idx="3">
                  <c:v>368061265</c:v>
                </c:pt>
                <c:pt idx="4">
                  <c:v>291045518</c:v>
                </c:pt>
                <c:pt idx="5">
                  <c:v>274092705</c:v>
                </c:pt>
                <c:pt idx="6">
                  <c:v>268492764</c:v>
                </c:pt>
                <c:pt idx="7">
                  <c:v>258366855</c:v>
                </c:pt>
                <c:pt idx="8">
                  <c:v>238679850</c:v>
                </c:pt>
                <c:pt idx="9">
                  <c:v>234911825</c:v>
                </c:pt>
              </c:numCache>
            </c:numRef>
          </c:val>
        </c:ser>
        <c:dLbls>
          <c:dLblPos val="outEnd"/>
          <c:showLegendKey val="0"/>
          <c:showVal val="1"/>
          <c:showCatName val="0"/>
          <c:showSerName val="0"/>
          <c:showPercent val="0"/>
          <c:showBubbleSize val="0"/>
        </c:dLbls>
        <c:gapWidth val="182"/>
        <c:overlap val="100"/>
        <c:axId val="746885456"/>
        <c:axId val="746886016"/>
        <c:extLst>
          <c:ext xmlns:c15="http://schemas.microsoft.com/office/drawing/2012/chart" uri="{02D57815-91ED-43cb-92C2-25804820EDAC}">
            <c15:filteredBarSeries>
              <c15:ser>
                <c:idx val="0"/>
                <c:order val="0"/>
                <c:tx>
                  <c:strRef>
                    <c:extLst>
                      <c:ext uri="{02D57815-91ED-43cb-92C2-25804820EDAC}">
                        <c15:formulaRef>
                          <c15:sqref>'Interactive Data &amp; Charting'!$S$8</c15:sqref>
                        </c15:formulaRef>
                      </c:ext>
                    </c:extLst>
                    <c:strCache>
                      <c:ptCount val="1"/>
                      <c:pt idx="0">
                        <c:v>Opening Theaters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'Interactive Data &amp; Charting'!$O$9:$R$18</c15:sqref>
                        </c15:fullRef>
                        <c15:levelRef>
                          <c15:sqref>'Interactive Data &amp; Charting'!$P$9:$P$18</c15:sqref>
                        </c15:levelRef>
                        <c15:formulaRef>
                          <c15:sqref>'Interactive Data &amp; Charting'!$P$9:$P$18</c15:sqref>
                        </c15:formulaRef>
                      </c:ext>
                    </c:extLst>
                    <c:strCache>
                      <c:ptCount val="10"/>
                      <c:pt idx="0">
                        <c:v>The Hunger Games: Catching Fire</c:v>
                      </c:pt>
                      <c:pt idx="1">
                        <c:v>Iron Man 3</c:v>
                      </c:pt>
                      <c:pt idx="2">
                        <c:v>Frozen</c:v>
                      </c:pt>
                      <c:pt idx="3">
                        <c:v>Despicable Me 2</c:v>
                      </c:pt>
                      <c:pt idx="4">
                        <c:v>Man of Steel</c:v>
                      </c:pt>
                      <c:pt idx="5">
                        <c:v>Gravity</c:v>
                      </c:pt>
                      <c:pt idx="6">
                        <c:v>Monsters University</c:v>
                      </c:pt>
                      <c:pt idx="7">
                        <c:v>The Hobbit: The Desolation of Smaug</c:v>
                      </c:pt>
                      <c:pt idx="8">
                        <c:v>Fast &amp; Furious 6</c:v>
                      </c:pt>
                      <c:pt idx="9">
                        <c:v>Oz The Great and Powerful</c:v>
                      </c:pt>
                    </c:strCache>
                  </c:strRef>
                </c:cat>
                <c:val>
                  <c:numRef>
                    <c:extLst>
                      <c:ext uri="{02D57815-91ED-43cb-92C2-25804820EDAC}">
                        <c15:formulaRef>
                          <c15:sqref>'Interactive Data &amp; Charting'!$S$9:$S$18</c15:sqref>
                        </c15:formulaRef>
                      </c:ext>
                    </c:extLst>
                    <c:numCache>
                      <c:formatCode>#,##0</c:formatCode>
                      <c:ptCount val="10"/>
                      <c:pt idx="0">
                        <c:v>4163</c:v>
                      </c:pt>
                      <c:pt idx="1">
                        <c:v>4253</c:v>
                      </c:pt>
                      <c:pt idx="2">
                        <c:v>1</c:v>
                      </c:pt>
                      <c:pt idx="3">
                        <c:v>3997</c:v>
                      </c:pt>
                      <c:pt idx="4">
                        <c:v>4207</c:v>
                      </c:pt>
                      <c:pt idx="5">
                        <c:v>3575</c:v>
                      </c:pt>
                      <c:pt idx="6">
                        <c:v>4004</c:v>
                      </c:pt>
                      <c:pt idx="7">
                        <c:v>3903</c:v>
                      </c:pt>
                      <c:pt idx="8">
                        <c:v>3658</c:v>
                      </c:pt>
                      <c:pt idx="9">
                        <c:v>3912</c:v>
                      </c:pt>
                    </c:numCache>
                  </c:numRef>
                </c:val>
              </c15:ser>
            </c15:filteredBarSeries>
            <c15:filteredBarSeries>
              <c15:ser>
                <c:idx val="2"/>
                <c:order val="2"/>
                <c:tx>
                  <c:strRef>
                    <c:extLst xmlns:c15="http://schemas.microsoft.com/office/drawing/2012/chart">
                      <c:ext xmlns:c15="http://schemas.microsoft.com/office/drawing/2012/chart" uri="{02D57815-91ED-43cb-92C2-25804820EDAC}">
                        <c15:formulaRef>
                          <c15:sqref>'Interactive Data &amp; Charting'!$U$8</c15:sqref>
                        </c15:formulaRef>
                      </c:ext>
                    </c:extLst>
                    <c:strCache>
                      <c:ptCount val="1"/>
                      <c:pt idx="0">
                        <c:v>Closing Date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'Interactive Data &amp; Charting'!$O$9:$R$18</c15:sqref>
                        </c15:fullRef>
                        <c15:levelRef>
                          <c15:sqref>'Interactive Data &amp; Charting'!$P$9:$P$18</c15:sqref>
                        </c15:levelRef>
                        <c15:formulaRef>
                          <c15:sqref>'Interactive Data &amp; Charting'!$P$9:$P$18</c15:sqref>
                        </c15:formulaRef>
                      </c:ext>
                    </c:extLst>
                    <c:strCache>
                      <c:ptCount val="10"/>
                      <c:pt idx="0">
                        <c:v>The Hunger Games: Catching Fire</c:v>
                      </c:pt>
                      <c:pt idx="1">
                        <c:v>Iron Man 3</c:v>
                      </c:pt>
                      <c:pt idx="2">
                        <c:v>Frozen</c:v>
                      </c:pt>
                      <c:pt idx="3">
                        <c:v>Despicable Me 2</c:v>
                      </c:pt>
                      <c:pt idx="4">
                        <c:v>Man of Steel</c:v>
                      </c:pt>
                      <c:pt idx="5">
                        <c:v>Gravity</c:v>
                      </c:pt>
                      <c:pt idx="6">
                        <c:v>Monsters University</c:v>
                      </c:pt>
                      <c:pt idx="7">
                        <c:v>The Hobbit: The Desolation of Smaug</c:v>
                      </c:pt>
                      <c:pt idx="8">
                        <c:v>Fast &amp; Furious 6</c:v>
                      </c:pt>
                      <c:pt idx="9">
                        <c:v>Oz The Great and Powerful</c:v>
                      </c:pt>
                    </c:strCache>
                  </c:strRef>
                </c:cat>
                <c:val>
                  <c:numRef>
                    <c:extLst xmlns:c15="http://schemas.microsoft.com/office/drawing/2012/chart">
                      <c:ext xmlns:c15="http://schemas.microsoft.com/office/drawing/2012/chart" uri="{02D57815-91ED-43cb-92C2-25804820EDAC}">
                        <c15:formulaRef>
                          <c15:sqref>'Interactive Data &amp; Charting'!$U$9:$U$18</c15:sqref>
                        </c15:formulaRef>
                      </c:ext>
                    </c:extLst>
                    <c:numCache>
                      <c:formatCode>d\-mmm</c:formatCode>
                      <c:ptCount val="10"/>
                      <c:pt idx="0">
                        <c:v>41732</c:v>
                      </c:pt>
                      <c:pt idx="1">
                        <c:v>41529</c:v>
                      </c:pt>
                      <c:pt idx="2">
                        <c:v>41837</c:v>
                      </c:pt>
                      <c:pt idx="3">
                        <c:v>41655</c:v>
                      </c:pt>
                      <c:pt idx="4">
                        <c:v>41536</c:v>
                      </c:pt>
                      <c:pt idx="5">
                        <c:v>41767</c:v>
                      </c:pt>
                      <c:pt idx="6">
                        <c:v>41627</c:v>
                      </c:pt>
                      <c:pt idx="7">
                        <c:v>41746</c:v>
                      </c:pt>
                      <c:pt idx="8">
                        <c:v>41522</c:v>
                      </c:pt>
                      <c:pt idx="9">
                        <c:v>41473</c:v>
                      </c:pt>
                    </c:numCache>
                  </c:numRef>
                </c:val>
              </c15:ser>
            </c15:filteredBarSeries>
            <c15:filteredBarSeries>
              <c15:ser>
                <c:idx val="3"/>
                <c:order val="3"/>
                <c:tx>
                  <c:strRef>
                    <c:extLst xmlns:c15="http://schemas.microsoft.com/office/drawing/2012/chart">
                      <c:ext xmlns:c15="http://schemas.microsoft.com/office/drawing/2012/chart" uri="{02D57815-91ED-43cb-92C2-25804820EDAC}">
                        <c15:formulaRef>
                          <c15:sqref>'Interactive Data &amp; Charting'!$V$8</c15:sqref>
                        </c15:formulaRef>
                      </c:ext>
                    </c:extLst>
                    <c:strCache>
                      <c:ptCount val="1"/>
                      <c:pt idx="0">
                        <c:v>Closing Theaters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'Interactive Data &amp; Charting'!$O$9:$R$18</c15:sqref>
                        </c15:fullRef>
                        <c15:levelRef>
                          <c15:sqref>'Interactive Data &amp; Charting'!$P$9:$P$18</c15:sqref>
                        </c15:levelRef>
                        <c15:formulaRef>
                          <c15:sqref>'Interactive Data &amp; Charting'!$P$9:$P$18</c15:sqref>
                        </c15:formulaRef>
                      </c:ext>
                    </c:extLst>
                    <c:strCache>
                      <c:ptCount val="10"/>
                      <c:pt idx="0">
                        <c:v>The Hunger Games: Catching Fire</c:v>
                      </c:pt>
                      <c:pt idx="1">
                        <c:v>Iron Man 3</c:v>
                      </c:pt>
                      <c:pt idx="2">
                        <c:v>Frozen</c:v>
                      </c:pt>
                      <c:pt idx="3">
                        <c:v>Despicable Me 2</c:v>
                      </c:pt>
                      <c:pt idx="4">
                        <c:v>Man of Steel</c:v>
                      </c:pt>
                      <c:pt idx="5">
                        <c:v>Gravity</c:v>
                      </c:pt>
                      <c:pt idx="6">
                        <c:v>Monsters University</c:v>
                      </c:pt>
                      <c:pt idx="7">
                        <c:v>The Hobbit: The Desolation of Smaug</c:v>
                      </c:pt>
                      <c:pt idx="8">
                        <c:v>Fast &amp; Furious 6</c:v>
                      </c:pt>
                      <c:pt idx="9">
                        <c:v>Oz The Great and Powerful</c:v>
                      </c:pt>
                    </c:strCache>
                  </c:strRef>
                </c:cat>
                <c:val>
                  <c:numRef>
                    <c:extLst xmlns:c15="http://schemas.microsoft.com/office/drawing/2012/chart">
                      <c:ext xmlns:c15="http://schemas.microsoft.com/office/drawing/2012/chart" uri="{02D57815-91ED-43cb-92C2-25804820EDAC}">
                        <c15:formulaRef>
                          <c15:sqref>'Interactive Data &amp; Charting'!$V$9:$V$18</c15:sqref>
                        </c15:formulaRef>
                      </c:ext>
                    </c:extLst>
                    <c:numCache>
                      <c:formatCode>#,##0</c:formatCode>
                      <c:ptCount val="10"/>
                      <c:pt idx="0">
                        <c:v>4163</c:v>
                      </c:pt>
                      <c:pt idx="1">
                        <c:v>4253</c:v>
                      </c:pt>
                      <c:pt idx="2">
                        <c:v>3742</c:v>
                      </c:pt>
                      <c:pt idx="3">
                        <c:v>4003</c:v>
                      </c:pt>
                      <c:pt idx="4">
                        <c:v>4207</c:v>
                      </c:pt>
                      <c:pt idx="5">
                        <c:v>3820</c:v>
                      </c:pt>
                      <c:pt idx="6">
                        <c:v>4004</c:v>
                      </c:pt>
                      <c:pt idx="7">
                        <c:v>3928</c:v>
                      </c:pt>
                      <c:pt idx="8">
                        <c:v>3771</c:v>
                      </c:pt>
                      <c:pt idx="9">
                        <c:v>3912</c:v>
                      </c:pt>
                    </c:numCache>
                  </c:numRef>
                </c:val>
              </c15:ser>
            </c15:filteredBarSeries>
          </c:ext>
        </c:extLst>
      </c:barChart>
      <c:catAx>
        <c:axId val="746885456"/>
        <c:scaling>
          <c:orientation val="minMax"/>
        </c:scaling>
        <c:delete val="0"/>
        <c:axPos val="b"/>
        <c:numFmt formatCode="General" sourceLinked="1"/>
        <c:majorTickMark val="none"/>
        <c:minorTickMark val="none"/>
        <c:tickLblPos val="low"/>
        <c:spPr>
          <a:noFill/>
          <a:ln w="12700" cap="flat" cmpd="sng" algn="ctr">
            <a:solidFill>
              <a:schemeClr val="accent5">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886016"/>
        <c:crosses val="autoZero"/>
        <c:auto val="1"/>
        <c:lblAlgn val="ctr"/>
        <c:lblOffset val="100"/>
        <c:tickLblSkip val="1"/>
        <c:noMultiLvlLbl val="0"/>
      </c:catAx>
      <c:valAx>
        <c:axId val="746886016"/>
        <c:scaling>
          <c:orientation val="minMax"/>
        </c:scaling>
        <c:delete val="0"/>
        <c:axPos val="l"/>
        <c:numFmt formatCode="&quot;$&quot;#,,&quot; 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885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0" fmlaLink="$R$14" fmlaRange="$Q$14:$Q$20" sel="1" val="0"/>
</file>

<file path=xl/ctrlProps/ctrlProp3.xml><?xml version="1.0" encoding="utf-8"?>
<formControlPr xmlns="http://schemas.microsoft.com/office/spreadsheetml/2009/9/main" objectType="CheckBox" fmlaLink="$U$14" lockText="1" noThreeD="1"/>
</file>

<file path=xl/ctrlProps/ctrlProp4.xml><?xml version="1.0" encoding="utf-8"?>
<formControlPr xmlns="http://schemas.microsoft.com/office/spreadsheetml/2009/9/main" objectType="Spin" dx="26" fmlaLink="$X$14" max="100" page="10" val="0"/>
</file>

<file path=xl/ctrlProps/ctrlProp5.xml><?xml version="1.0" encoding="utf-8"?>
<formControlPr xmlns="http://schemas.microsoft.com/office/spreadsheetml/2009/9/main" objectType="List" dx="26" fmlaLink="$AA$14" fmlaRange="$Q$14:$Q$20" sel="6" val="0"/>
</file>

<file path=xl/ctrlProps/ctrlProp6.xml><?xml version="1.0" encoding="utf-8"?>
<formControlPr xmlns="http://schemas.microsoft.com/office/spreadsheetml/2009/9/main" objectType="Radio" firstButton="1" fmlaLink="$AE$14" lockText="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Scroll" dx="26" fmlaLink="$AH$14" max="100" page="10" val="0"/>
</file>

<file path=xl/ctrlProps/ctrlProp10.xml><?xml version="1.0" encoding="utf-8"?>
<formControlPr xmlns="http://schemas.microsoft.com/office/spreadsheetml/2009/9/main" objectType="Scroll" dx="26" fmlaLink="$Y$9" max="90" page="10" val="0"/>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12</xdr:col>
      <xdr:colOff>175260</xdr:colOff>
      <xdr:row>13</xdr:row>
      <xdr:rowOff>0</xdr:rowOff>
    </xdr:from>
    <xdr:to>
      <xdr:col>14</xdr:col>
      <xdr:colOff>563880</xdr:colOff>
      <xdr:row>17</xdr:row>
      <xdr:rowOff>160020</xdr:rowOff>
    </xdr:to>
    <xdr:sp macro="" textlink="$K$13">
      <xdr:nvSpPr>
        <xdr:cNvPr id="2" name="Rectangle 1"/>
        <xdr:cNvSpPr/>
      </xdr:nvSpPr>
      <xdr:spPr>
        <a:xfrm>
          <a:off x="10233660" y="2811780"/>
          <a:ext cx="1729740" cy="952500"/>
        </a:xfrm>
        <a:prstGeom prst="rect">
          <a:avLst/>
        </a:prstGeom>
        <a:ln w="57150">
          <a:solidFill>
            <a:schemeClr val="accent4"/>
          </a:solidFill>
          <a:prstDash val="sysDot"/>
        </a:ln>
        <a:scene3d>
          <a:camera prst="perspectiveHeroicExtremeRightFacing"/>
          <a:lightRig rig="threePt" dir="t"/>
        </a:scene3d>
        <a:sp3d>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extrusionH="57150">
            <a:bevelT w="82550" h="38100" prst="coolSlant"/>
          </a:sp3d>
        </a:bodyPr>
        <a:lstStyle/>
        <a:p>
          <a:pPr algn="ctr"/>
          <a:fld id="{4A89A73B-059F-47A3-93D7-B5417E405BD4}" type="TxLink">
            <a:rPr lang="en-US" sz="3600" b="1" i="0" u="none" strike="noStrike">
              <a:ln>
                <a:solidFill>
                  <a:schemeClr val="tx2">
                    <a:lumMod val="60000"/>
                    <a:lumOff val="40000"/>
                  </a:schemeClr>
                </a:solidFill>
              </a:ln>
              <a:solidFill>
                <a:schemeClr val="accent4"/>
              </a:solidFill>
              <a:effectLst>
                <a:glow rad="101600">
                  <a:schemeClr val="accent6">
                    <a:lumMod val="20000"/>
                    <a:lumOff val="80000"/>
                    <a:alpha val="60000"/>
                  </a:schemeClr>
                </a:glow>
              </a:effectLst>
              <a:latin typeface="Times New Roman"/>
              <a:cs typeface="Times New Roman"/>
            </a:rPr>
            <a:pPr algn="ctr"/>
            <a:t>Eric</a:t>
          </a:fld>
          <a:endParaRPr lang="en-US" sz="3200" b="1">
            <a:ln>
              <a:solidFill>
                <a:schemeClr val="tx2">
                  <a:lumMod val="60000"/>
                  <a:lumOff val="40000"/>
                </a:schemeClr>
              </a:solidFill>
            </a:ln>
            <a:solidFill>
              <a:schemeClr val="accent4"/>
            </a:solidFill>
            <a:effectLst>
              <a:glow rad="101600">
                <a:schemeClr val="accent6">
                  <a:lumMod val="20000"/>
                  <a:lumOff val="80000"/>
                  <a:alpha val="60000"/>
                </a:schemeClr>
              </a:glo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388620</xdr:colOff>
      <xdr:row>12</xdr:row>
      <xdr:rowOff>129540</xdr:rowOff>
    </xdr:from>
    <xdr:to>
      <xdr:col>12</xdr:col>
      <xdr:colOff>106680</xdr:colOff>
      <xdr:row>17</xdr:row>
      <xdr:rowOff>45720</xdr:rowOff>
    </xdr:to>
    <xdr:sp macro="" textlink="">
      <xdr:nvSpPr>
        <xdr:cNvPr id="2" name="Rectangle 1"/>
        <xdr:cNvSpPr/>
      </xdr:nvSpPr>
      <xdr:spPr>
        <a:xfrm>
          <a:off x="9105900" y="2705100"/>
          <a:ext cx="1059180" cy="90678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556260</xdr:colOff>
      <xdr:row>15</xdr:row>
      <xdr:rowOff>34290</xdr:rowOff>
    </xdr:from>
    <xdr:to>
      <xdr:col>13</xdr:col>
      <xdr:colOff>304800</xdr:colOff>
      <xdr:row>20</xdr:row>
      <xdr:rowOff>41910</xdr:rowOff>
    </xdr:to>
    <xdr:sp macro="" textlink="">
      <xdr:nvSpPr>
        <xdr:cNvPr id="3" name="Bevel 2"/>
        <xdr:cNvSpPr/>
      </xdr:nvSpPr>
      <xdr:spPr>
        <a:xfrm>
          <a:off x="9944100" y="3204210"/>
          <a:ext cx="1089660" cy="998220"/>
        </a:xfrm>
        <a:prstGeom prst="bevel">
          <a:avLst>
            <a:gd name="adj" fmla="val 36164"/>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220980</xdr:colOff>
      <xdr:row>7</xdr:row>
      <xdr:rowOff>76200</xdr:rowOff>
    </xdr:from>
    <xdr:to>
      <xdr:col>15</xdr:col>
      <xdr:colOff>144780</xdr:colOff>
      <xdr:row>11</xdr:row>
      <xdr:rowOff>121920</xdr:rowOff>
    </xdr:to>
    <xdr:sp macro="" textlink="">
      <xdr:nvSpPr>
        <xdr:cNvPr id="4" name="Isosceles Triangle 3"/>
        <xdr:cNvSpPr/>
      </xdr:nvSpPr>
      <xdr:spPr>
        <a:xfrm>
          <a:off x="10949940" y="1661160"/>
          <a:ext cx="1264920" cy="83820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457200</xdr:colOff>
      <xdr:row>13</xdr:row>
      <xdr:rowOff>34290</xdr:rowOff>
    </xdr:from>
    <xdr:to>
      <xdr:col>15</xdr:col>
      <xdr:colOff>259080</xdr:colOff>
      <xdr:row>18</xdr:row>
      <xdr:rowOff>19050</xdr:rowOff>
    </xdr:to>
    <xdr:sp macro="" textlink="">
      <xdr:nvSpPr>
        <xdr:cNvPr id="5" name="Smiley Face 4"/>
        <xdr:cNvSpPr/>
      </xdr:nvSpPr>
      <xdr:spPr>
        <a:xfrm flipV="1">
          <a:off x="11186160" y="2807970"/>
          <a:ext cx="1143000" cy="975360"/>
        </a:xfrm>
        <a:prstGeom prst="smileyFace">
          <a:avLst>
            <a:gd name="adj" fmla="val -4653"/>
          </a:avLst>
        </a:prstGeom>
        <a:solidFill>
          <a:schemeClr val="accent4"/>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83820</xdr:colOff>
      <xdr:row>20</xdr:row>
      <xdr:rowOff>129540</xdr:rowOff>
    </xdr:from>
    <xdr:to>
      <xdr:col>15</xdr:col>
      <xdr:colOff>601980</xdr:colOff>
      <xdr:row>24</xdr:row>
      <xdr:rowOff>99060</xdr:rowOff>
    </xdr:to>
    <xdr:sp macro="" textlink="">
      <xdr:nvSpPr>
        <xdr:cNvPr id="6" name="TextBox 5"/>
        <xdr:cNvSpPr txBox="1"/>
      </xdr:nvSpPr>
      <xdr:spPr>
        <a:xfrm>
          <a:off x="10142220" y="4290060"/>
          <a:ext cx="2529840" cy="7620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Text</a:t>
          </a:r>
          <a:r>
            <a:rPr lang="en-US" sz="1100" baseline="0"/>
            <a:t> box</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7620</xdr:colOff>
          <xdr:row>26</xdr:row>
          <xdr:rowOff>7620</xdr:rowOff>
        </xdr:to>
        <xdr:pic>
          <xdr:nvPicPr>
            <xdr:cNvPr id="3" name="Picture 2"/>
            <xdr:cNvPicPr>
              <a:picLocks noChangeAspect="1" noChangeArrowheads="1"/>
              <a:extLst>
                <a:ext uri="{84589F7E-364E-4C9E-8A38-B11213B215E9}">
                  <a14:cameraTool cellRange="Hyperlinks!$A$1:$I$26" spid="_x0000_s7306"/>
                </a:ext>
              </a:extLst>
            </xdr:cNvPicPr>
          </xdr:nvPicPr>
          <xdr:blipFill>
            <a:blip xmlns:r="http://schemas.openxmlformats.org/officeDocument/2006/relationships" r:embed="rId1"/>
            <a:srcRect/>
            <a:stretch>
              <a:fillRect/>
            </a:stretch>
          </xdr:blipFill>
          <xdr:spPr bwMode="auto">
            <a:xfrm>
              <a:off x="0" y="0"/>
              <a:ext cx="8054340" cy="53568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18</xdr:col>
      <xdr:colOff>800100</xdr:colOff>
      <xdr:row>12</xdr:row>
      <xdr:rowOff>175260</xdr:rowOff>
    </xdr:from>
    <xdr:to>
      <xdr:col>22</xdr:col>
      <xdr:colOff>708660</xdr:colOff>
      <xdr:row>32</xdr:row>
      <xdr:rowOff>167640</xdr:rowOff>
    </xdr:to>
    <xdr:grpSp>
      <xdr:nvGrpSpPr>
        <xdr:cNvPr id="11" name="Group 10"/>
        <xdr:cNvGrpSpPr/>
      </xdr:nvGrpSpPr>
      <xdr:grpSpPr>
        <a:xfrm>
          <a:off x="15971520" y="2750820"/>
          <a:ext cx="4632960" cy="3954780"/>
          <a:chOff x="16306800" y="1790700"/>
          <a:chExt cx="4632960" cy="3954780"/>
        </a:xfrm>
      </xdr:grpSpPr>
      <xdr:graphicFrame macro="">
        <xdr:nvGraphicFramePr>
          <xdr:cNvPr id="4" name="Chart 3"/>
          <xdr:cNvGraphicFramePr>
            <a:graphicFrameLocks/>
          </xdr:cNvGraphicFramePr>
        </xdr:nvGraphicFramePr>
        <xdr:xfrm>
          <a:off x="16367760" y="1790700"/>
          <a:ext cx="4572000" cy="395478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 name="TextBox 1"/>
          <xdr:cNvSpPr txBox="1"/>
        </xdr:nvSpPr>
        <xdr:spPr>
          <a:xfrm>
            <a:off x="16306800" y="1790700"/>
            <a:ext cx="46024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600" b="0" i="0" baseline="0">
                <a:ln w="12700">
                  <a:solidFill>
                    <a:schemeClr val="accent6">
                      <a:lumMod val="20000"/>
                      <a:lumOff val="80000"/>
                    </a:schemeClr>
                  </a:solidFill>
                </a:ln>
                <a:solidFill>
                  <a:schemeClr val="accent4"/>
                </a:solidFill>
                <a:effectLst/>
                <a:latin typeface="Broadway" panose="04040905080B02020502" pitchFamily="82" charset="0"/>
                <a:ea typeface="+mn-ea"/>
                <a:cs typeface="+mn-cs"/>
              </a:rPr>
              <a:t>Box Office Gross vs. Number of Theaters</a:t>
            </a:r>
            <a:endParaRPr lang="en-US" sz="2400" b="0">
              <a:ln w="12700">
                <a:solidFill>
                  <a:schemeClr val="accent6">
                    <a:lumMod val="20000"/>
                    <a:lumOff val="80000"/>
                  </a:schemeClr>
                </a:solidFill>
              </a:ln>
              <a:solidFill>
                <a:schemeClr val="accent4"/>
              </a:solidFill>
              <a:effectLst/>
              <a:latin typeface="Broadway" panose="04040905080B02020502" pitchFamily="82" charset="0"/>
            </a:endParaRPr>
          </a:p>
        </xdr:txBody>
      </xdr:sp>
    </xdr:grpSp>
    <xdr:clientData/>
  </xdr:twoCellAnchor>
  <xdr:twoCellAnchor>
    <xdr:from>
      <xdr:col>8</xdr:col>
      <xdr:colOff>683811</xdr:colOff>
      <xdr:row>12</xdr:row>
      <xdr:rowOff>121920</xdr:rowOff>
    </xdr:from>
    <xdr:to>
      <xdr:col>18</xdr:col>
      <xdr:colOff>404522</xdr:colOff>
      <xdr:row>34</xdr:row>
      <xdr:rowOff>145542</xdr:rowOff>
    </xdr:to>
    <xdr:grpSp>
      <xdr:nvGrpSpPr>
        <xdr:cNvPr id="18" name="Group 17"/>
        <xdr:cNvGrpSpPr/>
      </xdr:nvGrpSpPr>
      <xdr:grpSpPr>
        <a:xfrm>
          <a:off x="7785651" y="2697480"/>
          <a:ext cx="7790291" cy="4382262"/>
          <a:chOff x="5726264" y="4625340"/>
          <a:chExt cx="7789297" cy="4396839"/>
        </a:xfrm>
      </xdr:grpSpPr>
      <xdr:grpSp>
        <xdr:nvGrpSpPr>
          <xdr:cNvPr id="10" name="Group 9"/>
          <xdr:cNvGrpSpPr/>
        </xdr:nvGrpSpPr>
        <xdr:grpSpPr>
          <a:xfrm>
            <a:off x="8812701" y="4625340"/>
            <a:ext cx="4641899" cy="4021372"/>
            <a:chOff x="9640248" y="1684020"/>
            <a:chExt cx="4647252" cy="4008120"/>
          </a:xfrm>
        </xdr:grpSpPr>
        <xdr:graphicFrame macro="">
          <xdr:nvGraphicFramePr>
            <xdr:cNvPr id="3" name="Chart 2"/>
            <xdr:cNvGraphicFramePr/>
          </xdr:nvGraphicFramePr>
          <xdr:xfrm>
            <a:off x="9715500" y="1729740"/>
            <a:ext cx="4572000" cy="395478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TextBox 4"/>
            <xdr:cNvSpPr txBox="1"/>
          </xdr:nvSpPr>
          <xdr:spPr>
            <a:xfrm>
              <a:off x="10378440" y="5478780"/>
              <a:ext cx="388620" cy="1981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n>
                    <a:noFill/>
                  </a:ln>
                  <a:solidFill>
                    <a:sysClr val="windowText" lastClr="000000"/>
                  </a:solidFill>
                </a:rPr>
                <a:t>892</a:t>
              </a:r>
            </a:p>
          </xdr:txBody>
        </xdr:sp>
        <xdr:sp macro="" textlink="">
          <xdr:nvSpPr>
            <xdr:cNvPr id="6" name="TextBox 5"/>
            <xdr:cNvSpPr txBox="1"/>
          </xdr:nvSpPr>
          <xdr:spPr>
            <a:xfrm>
              <a:off x="9693881" y="5265420"/>
              <a:ext cx="769620"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n>
                    <a:noFill/>
                  </a:ln>
                  <a:solidFill>
                    <a:sysClr val="windowText" lastClr="000000"/>
                  </a:solidFill>
                </a:rPr>
                <a:t>$25,568,251</a:t>
              </a:r>
            </a:p>
          </xdr:txBody>
        </xdr:sp>
        <xdr:sp macro="" textlink="">
          <xdr:nvSpPr>
            <xdr:cNvPr id="7" name="TextBox 6"/>
            <xdr:cNvSpPr txBox="1"/>
          </xdr:nvSpPr>
          <xdr:spPr>
            <a:xfrm>
              <a:off x="9640248" y="2269437"/>
              <a:ext cx="859396" cy="178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n>
                    <a:noFill/>
                  </a:ln>
                  <a:solidFill>
                    <a:sysClr val="windowText" lastClr="000000"/>
                  </a:solidFill>
                </a:rPr>
                <a:t>$424,668,047</a:t>
              </a:r>
            </a:p>
          </xdr:txBody>
        </xdr:sp>
        <xdr:sp macro="" textlink="">
          <xdr:nvSpPr>
            <xdr:cNvPr id="8" name="TextBox 7"/>
            <xdr:cNvSpPr txBox="1"/>
          </xdr:nvSpPr>
          <xdr:spPr>
            <a:xfrm>
              <a:off x="13776960" y="5471160"/>
              <a:ext cx="510540" cy="2209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n>
                    <a:noFill/>
                  </a:ln>
                  <a:solidFill>
                    <a:sysClr val="windowText" lastClr="000000"/>
                  </a:solidFill>
                </a:rPr>
                <a:t>4,253</a:t>
              </a:r>
            </a:p>
          </xdr:txBody>
        </xdr:sp>
        <xdr:sp macro="" textlink="">
          <xdr:nvSpPr>
            <xdr:cNvPr id="9" name="TextBox 8"/>
            <xdr:cNvSpPr txBox="1"/>
          </xdr:nvSpPr>
          <xdr:spPr>
            <a:xfrm>
              <a:off x="9685020" y="1684020"/>
              <a:ext cx="46024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n-US" sz="1200" b="0" i="0" baseline="0">
                  <a:ln w="12700">
                    <a:noFill/>
                  </a:ln>
                  <a:solidFill>
                    <a:sysClr val="windowText" lastClr="000000"/>
                  </a:solidFill>
                  <a:effectLst/>
                  <a:latin typeface="Arial Narrow" panose="020B0606020202030204" pitchFamily="34" charset="0"/>
                  <a:ea typeface="+mn-ea"/>
                  <a:cs typeface="+mn-cs"/>
                </a:rPr>
                <a:t>Box Office Gross vs. Number of Theaters</a:t>
              </a:r>
            </a:p>
            <a:p>
              <a:pPr algn="ctr" rtl="0"/>
              <a:r>
                <a:rPr lang="en-US" sz="1200" b="0" i="0" baseline="0">
                  <a:ln w="12700">
                    <a:noFill/>
                  </a:ln>
                  <a:solidFill>
                    <a:sysClr val="windowText" lastClr="000000"/>
                  </a:solidFill>
                  <a:effectLst/>
                  <a:latin typeface="Arial Narrow" panose="020B0606020202030204" pitchFamily="34" charset="0"/>
                  <a:ea typeface="+mn-ea"/>
                  <a:cs typeface="+mn-cs"/>
                </a:rPr>
                <a:t>(Top 100 Grossing Movies of 2013)</a:t>
              </a:r>
            </a:p>
          </xdr:txBody>
        </xdr:sp>
      </xdr:grpSp>
      <xdr:graphicFrame macro="">
        <xdr:nvGraphicFramePr>
          <xdr:cNvPr id="13" name="Chart 12"/>
          <xdr:cNvGraphicFramePr/>
        </xdr:nvGraphicFramePr>
        <xdr:xfrm>
          <a:off x="8879738" y="5049575"/>
          <a:ext cx="4566699" cy="3972604"/>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13"/>
          <xdr:cNvGraphicFramePr/>
        </xdr:nvGraphicFramePr>
        <xdr:xfrm>
          <a:off x="5726264" y="4686301"/>
          <a:ext cx="7789297" cy="3949744"/>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Rectangle 14"/>
          <xdr:cNvSpPr/>
        </xdr:nvSpPr>
        <xdr:spPr>
          <a:xfrm>
            <a:off x="10881811" y="8319360"/>
            <a:ext cx="119742" cy="4583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xdr:cNvSpPr/>
        </xdr:nvSpPr>
        <xdr:spPr>
          <a:xfrm>
            <a:off x="10933516" y="8277994"/>
            <a:ext cx="45719" cy="1171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609600</xdr:colOff>
          <xdr:row>8</xdr:row>
          <xdr:rowOff>53340</xdr:rowOff>
        </xdr:from>
        <xdr:to>
          <xdr:col>15</xdr:col>
          <xdr:colOff>68580</xdr:colOff>
          <xdr:row>10</xdr:row>
          <xdr:rowOff>91440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8</xdr:row>
          <xdr:rowOff>152400</xdr:rowOff>
        </xdr:from>
        <xdr:to>
          <xdr:col>18</xdr:col>
          <xdr:colOff>411480</xdr:colOff>
          <xdr:row>10</xdr:row>
          <xdr:rowOff>7620</xdr:rowOff>
        </xdr:to>
        <xdr:sp macro="" textlink="">
          <xdr:nvSpPr>
            <xdr:cNvPr id="24578" name="Drop Down 2"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22860</xdr:colOff>
          <xdr:row>9</xdr:row>
          <xdr:rowOff>0</xdr:rowOff>
        </xdr:from>
        <xdr:to>
          <xdr:col>20</xdr:col>
          <xdr:colOff>731520</xdr:colOff>
          <xdr:row>10</xdr:row>
          <xdr:rowOff>15240</xdr:rowOff>
        </xdr:to>
        <xdr:sp macro="" textlink="">
          <xdr:nvSpPr>
            <xdr:cNvPr id="24580" name="Check Box 4" hidden="1">
              <a:extLst>
                <a:ext uri="{63B3BB69-23CF-44E3-9099-C40C66FF867C}">
                  <a14:compatExt spid="_x0000_s245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Check Box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45720</xdr:colOff>
          <xdr:row>7</xdr:row>
          <xdr:rowOff>137160</xdr:rowOff>
        </xdr:from>
        <xdr:to>
          <xdr:col>23</xdr:col>
          <xdr:colOff>579120</xdr:colOff>
          <xdr:row>11</xdr:row>
          <xdr:rowOff>7620</xdr:rowOff>
        </xdr:to>
        <xdr:sp macro="" textlink="">
          <xdr:nvSpPr>
            <xdr:cNvPr id="24581" name="Spinner 5" hidden="1">
              <a:extLst>
                <a:ext uri="{63B3BB69-23CF-44E3-9099-C40C66FF867C}">
                  <a14:compatExt spid="_x0000_s24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617220</xdr:colOff>
          <xdr:row>6</xdr:row>
          <xdr:rowOff>182880</xdr:rowOff>
        </xdr:from>
        <xdr:to>
          <xdr:col>28</xdr:col>
          <xdr:colOff>373380</xdr:colOff>
          <xdr:row>12</xdr:row>
          <xdr:rowOff>7620</xdr:rowOff>
        </xdr:to>
        <xdr:sp macro="" textlink="">
          <xdr:nvSpPr>
            <xdr:cNvPr id="24582" name="List Box 6"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15240</xdr:colOff>
          <xdr:row>5</xdr:row>
          <xdr:rowOff>30480</xdr:rowOff>
        </xdr:from>
        <xdr:to>
          <xdr:col>31</xdr:col>
          <xdr:colOff>220980</xdr:colOff>
          <xdr:row>6</xdr:row>
          <xdr:rowOff>45720</xdr:rowOff>
        </xdr:to>
        <xdr:sp macro="" textlink="">
          <xdr:nvSpPr>
            <xdr:cNvPr id="24583" name="Option Button 7" hidden="1">
              <a:extLst>
                <a:ext uri="{63B3BB69-23CF-44E3-9099-C40C66FF867C}">
                  <a14:compatExt spid="_x0000_s245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Option Button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15240</xdr:colOff>
          <xdr:row>7</xdr:row>
          <xdr:rowOff>7620</xdr:rowOff>
        </xdr:from>
        <xdr:to>
          <xdr:col>31</xdr:col>
          <xdr:colOff>220980</xdr:colOff>
          <xdr:row>8</xdr:row>
          <xdr:rowOff>22860</xdr:rowOff>
        </xdr:to>
        <xdr:sp macro="" textlink="">
          <xdr:nvSpPr>
            <xdr:cNvPr id="24584" name="Option Button 8" hidden="1">
              <a:extLst>
                <a:ext uri="{63B3BB69-23CF-44E3-9099-C40C66FF867C}">
                  <a14:compatExt spid="_x0000_s245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Option Button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15240</xdr:colOff>
          <xdr:row>9</xdr:row>
          <xdr:rowOff>45720</xdr:rowOff>
        </xdr:from>
        <xdr:to>
          <xdr:col>31</xdr:col>
          <xdr:colOff>220980</xdr:colOff>
          <xdr:row>10</xdr:row>
          <xdr:rowOff>60960</xdr:rowOff>
        </xdr:to>
        <xdr:sp macro="" textlink="">
          <xdr:nvSpPr>
            <xdr:cNvPr id="24585" name="Option Button 9" descr="Option Button 3" hidden="1">
              <a:extLst>
                <a:ext uri="{63B3BB69-23CF-44E3-9099-C40C66FF867C}">
                  <a14:compatExt spid="_x0000_s24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ea typeface="Segoe UI"/>
                  <a:cs typeface="Segoe UI"/>
                </a:rPr>
                <a:t>Option Button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205740</xdr:colOff>
          <xdr:row>1</xdr:row>
          <xdr:rowOff>281940</xdr:rowOff>
        </xdr:from>
        <xdr:to>
          <xdr:col>33</xdr:col>
          <xdr:colOff>472440</xdr:colOff>
          <xdr:row>11</xdr:row>
          <xdr:rowOff>144780</xdr:rowOff>
        </xdr:to>
        <xdr:sp macro="" textlink="">
          <xdr:nvSpPr>
            <xdr:cNvPr id="24586" name="Scroll Bar 10" hidden="1">
              <a:extLst>
                <a:ext uri="{63B3BB69-23CF-44E3-9099-C40C66FF867C}">
                  <a14:compatExt spid="_x0000_s2458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22860</xdr:colOff>
          <xdr:row>8</xdr:row>
          <xdr:rowOff>7620</xdr:rowOff>
        </xdr:from>
        <xdr:to>
          <xdr:col>23</xdr:col>
          <xdr:colOff>297180</xdr:colOff>
          <xdr:row>18</xdr:row>
          <xdr:rowOff>0</xdr:rowOff>
        </xdr:to>
        <xdr:sp macro="" textlink="">
          <xdr:nvSpPr>
            <xdr:cNvPr id="25601" name="Scroll Bar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14</xdr:col>
      <xdr:colOff>0</xdr:colOff>
      <xdr:row>19</xdr:row>
      <xdr:rowOff>15240</xdr:rowOff>
    </xdr:from>
    <xdr:to>
      <xdr:col>23</xdr:col>
      <xdr:colOff>335280</xdr:colOff>
      <xdr:row>32</xdr:row>
      <xdr:rowOff>182880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1722120</xdr:colOff>
      <xdr:row>19</xdr:row>
      <xdr:rowOff>68580</xdr:rowOff>
    </xdr:from>
    <xdr:to>
      <xdr:col>20</xdr:col>
      <xdr:colOff>579120</xdr:colOff>
      <xdr:row>20</xdr:row>
      <xdr:rowOff>106680</xdr:rowOff>
    </xdr:to>
    <xdr:sp macro="" textlink="$O$7">
      <xdr:nvSpPr>
        <xdr:cNvPr id="3" name="Rectangle 2"/>
        <xdr:cNvSpPr/>
      </xdr:nvSpPr>
      <xdr:spPr>
        <a:xfrm>
          <a:off x="13632180" y="4229100"/>
          <a:ext cx="4716780" cy="23622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BE0943A-3616-4432-97BD-911FB41A242D}" type="TxLink">
            <a:rPr lang="en-US" sz="1200" b="1" i="0" u="none" strike="noStrike">
              <a:solidFill>
                <a:srgbClr val="000000"/>
              </a:solidFill>
              <a:latin typeface="Times New Roman"/>
              <a:cs typeface="Times New Roman"/>
            </a:rPr>
            <a:pPr algn="ctr"/>
            <a:t>Top 100 Grossing Movies of 2013 (Showing 1 through 10)</a:t>
          </a:fld>
          <a:endParaRPr lang="en-US" sz="1100"/>
        </a:p>
      </xdr:txBody>
    </xdr:sp>
    <xdr:clientData/>
  </xdr:twoCellAnchor>
</xdr:wsDr>
</file>

<file path=xl/tables/table1.xml><?xml version="1.0" encoding="utf-8"?>
<table xmlns="http://schemas.openxmlformats.org/spreadsheetml/2006/main" id="2" name="Table2" displayName="Table2" ref="A2:I12" totalsRowShown="0" headerRowDxfId="13" dataDxfId="11" headerRowBorderDxfId="12" tableBorderDxfId="10" totalsRowBorderDxfId="9">
  <autoFilter ref="A2:I12"/>
  <tableColumns count="9">
    <tableColumn id="1" name="Rank" dataDxfId="8"/>
    <tableColumn id="2" name="Movie Title" dataDxfId="7" dataCellStyle="Hyperlink"/>
    <tableColumn id="3" name="Studio" dataDxfId="6" dataCellStyle="Hyperlink"/>
    <tableColumn id="4" name="Opening Date" dataDxfId="5" dataCellStyle="Hyperlink"/>
    <tableColumn id="5" name="Opening Theaters" dataDxfId="4"/>
    <tableColumn id="6" name="Opening Gross" dataDxfId="3"/>
    <tableColumn id="7" name="Closing Date" dataDxfId="2"/>
    <tableColumn id="8" name="Closing Theaters" dataDxfId="1"/>
    <tableColumn id="9" name="Total Gros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76"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5811DC2-803B-4AF5-B829-2E65A774B801}">
  <we:reference id="wa104168603" version="1.0.0.4" store="en-US" storeType="OMEX"/>
  <we:alternateReferences>
    <we:reference id="WA104168603" version="1.0.0.4" store="WA104168603" storeType="OMEX"/>
  </we:alternateReferences>
  <we:properties>
    <we:property name="savedSettings" value="{&quot;state&quot;:{&quot;seed&quot;:1000,&quot;currentseed&quot;:null,&quot;measure&quot;:&quot;Total_Gross&quot;,&quot;aggregate&quot;:&quot;Sum&quot;,&quot;category&quot;:&quot;Studio&quot;,&quot;VisualizationName&quot;:&quot;Measure trend (global)&quot;,&quot;minDate&quot;:&quot;Date(1358229600000)&quot;,&quot;maxDate&quot;:&quot;Date(1358661600000)&quot;},&quot;date&quot;:&quot;Wed, 03 Dec 2014 14:46:08 GMT&quot;,&quot;appVersion&quot;:&quot;1.139.5444.33430, 27-11-2014 18:34:20&quot;}"/>
  </we:properties>
  <we:bindings>
    <we:binding id="VisualizationTable" type="table" appref="{E6DBE42E-1E5A-4B75-B8D9-EDDF2DE5D68B}"/>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39997558519241921"/>
  </sheetPr>
  <dimension ref="A1:B25"/>
  <sheetViews>
    <sheetView tabSelected="1" zoomScaleNormal="100" workbookViewId="0">
      <selection sqref="A1:B1"/>
    </sheetView>
  </sheetViews>
  <sheetFormatPr defaultRowHeight="15.6" x14ac:dyDescent="0.3"/>
  <cols>
    <col min="1" max="1" width="7.59765625" customWidth="1"/>
    <col min="2" max="2" width="33.796875" bestFit="1" customWidth="1"/>
  </cols>
  <sheetData>
    <row r="1" spans="1:2" x14ac:dyDescent="0.3">
      <c r="A1" s="61" t="s">
        <v>132</v>
      </c>
      <c r="B1" s="61"/>
    </row>
    <row r="2" spans="1:2" x14ac:dyDescent="0.3">
      <c r="A2" s="11">
        <v>1</v>
      </c>
      <c r="B2" s="60" t="s">
        <v>145</v>
      </c>
    </row>
    <row r="3" spans="1:2" x14ac:dyDescent="0.3">
      <c r="A3" s="11">
        <v>2</v>
      </c>
      <c r="B3" s="60" t="s">
        <v>157</v>
      </c>
    </row>
    <row r="4" spans="1:2" x14ac:dyDescent="0.3">
      <c r="A4" s="11">
        <v>3</v>
      </c>
      <c r="B4" s="60" t="s">
        <v>181</v>
      </c>
    </row>
    <row r="5" spans="1:2" x14ac:dyDescent="0.3">
      <c r="A5" s="11">
        <v>4</v>
      </c>
      <c r="B5" s="60" t="s">
        <v>146</v>
      </c>
    </row>
    <row r="6" spans="1:2" x14ac:dyDescent="0.3">
      <c r="A6" s="11">
        <v>5</v>
      </c>
      <c r="B6" s="60" t="s">
        <v>2</v>
      </c>
    </row>
    <row r="7" spans="1:2" x14ac:dyDescent="0.3">
      <c r="A7" s="11">
        <v>6</v>
      </c>
      <c r="B7" s="60" t="s">
        <v>136</v>
      </c>
    </row>
    <row r="8" spans="1:2" x14ac:dyDescent="0.3">
      <c r="A8" s="11">
        <v>7</v>
      </c>
      <c r="B8" s="60" t="s">
        <v>1</v>
      </c>
    </row>
    <row r="9" spans="1:2" x14ac:dyDescent="0.3">
      <c r="A9" s="11">
        <v>8</v>
      </c>
      <c r="B9" s="60" t="s">
        <v>144</v>
      </c>
    </row>
    <row r="10" spans="1:2" x14ac:dyDescent="0.3">
      <c r="A10" s="11">
        <v>9</v>
      </c>
      <c r="B10" s="60" t="s">
        <v>0</v>
      </c>
    </row>
    <row r="11" spans="1:2" x14ac:dyDescent="0.3">
      <c r="A11" s="11">
        <v>10</v>
      </c>
      <c r="B11" s="60" t="s">
        <v>133</v>
      </c>
    </row>
    <row r="12" spans="1:2" x14ac:dyDescent="0.3">
      <c r="A12" s="11">
        <v>11</v>
      </c>
      <c r="B12" s="60" t="s">
        <v>141</v>
      </c>
    </row>
    <row r="13" spans="1:2" x14ac:dyDescent="0.3">
      <c r="A13" s="11">
        <v>12</v>
      </c>
      <c r="B13" s="60" t="s">
        <v>134</v>
      </c>
    </row>
    <row r="14" spans="1:2" x14ac:dyDescent="0.3">
      <c r="A14" s="11">
        <v>13</v>
      </c>
      <c r="B14" s="60" t="s">
        <v>142</v>
      </c>
    </row>
    <row r="15" spans="1:2" x14ac:dyDescent="0.3">
      <c r="A15" s="11">
        <v>14</v>
      </c>
      <c r="B15" s="60" t="s">
        <v>140</v>
      </c>
    </row>
    <row r="16" spans="1:2" x14ac:dyDescent="0.3">
      <c r="A16" s="11">
        <v>15</v>
      </c>
      <c r="B16" s="60" t="s">
        <v>135</v>
      </c>
    </row>
    <row r="17" spans="1:2" x14ac:dyDescent="0.3">
      <c r="A17" s="11">
        <v>16</v>
      </c>
      <c r="B17" s="60" t="s">
        <v>143</v>
      </c>
    </row>
    <row r="18" spans="1:2" x14ac:dyDescent="0.3">
      <c r="A18" s="11">
        <v>17</v>
      </c>
      <c r="B18" s="60" t="s">
        <v>425</v>
      </c>
    </row>
    <row r="19" spans="1:2" x14ac:dyDescent="0.3">
      <c r="A19" s="11">
        <v>18</v>
      </c>
      <c r="B19" s="60" t="s">
        <v>137</v>
      </c>
    </row>
    <row r="20" spans="1:2" x14ac:dyDescent="0.3">
      <c r="A20" s="11">
        <v>19</v>
      </c>
      <c r="B20" s="60" t="s">
        <v>138</v>
      </c>
    </row>
    <row r="21" spans="1:2" x14ac:dyDescent="0.3">
      <c r="A21" s="11">
        <v>20</v>
      </c>
      <c r="B21" s="60" t="s">
        <v>139</v>
      </c>
    </row>
    <row r="22" spans="1:2" x14ac:dyDescent="0.3">
      <c r="A22" s="11"/>
    </row>
    <row r="23" spans="1:2" x14ac:dyDescent="0.3">
      <c r="A23" s="11"/>
    </row>
    <row r="24" spans="1:2" x14ac:dyDescent="0.3">
      <c r="A24" s="11"/>
    </row>
    <row r="25" spans="1:2" x14ac:dyDescent="0.3">
      <c r="A25" s="11"/>
    </row>
  </sheetData>
  <mergeCells count="1">
    <mergeCell ref="A1:B1"/>
  </mergeCells>
  <hyperlinks>
    <hyperlink ref="B2" location="'Customizing Excel'!A1" display="Customizing Excel"/>
    <hyperlink ref="B3" location="'Apps, Add-Ins, &amp; Templates'!A1" display="Apps, Add-Ins, &amp; Templates"/>
    <hyperlink ref="B4" location="'Text Boxes, Shapes, &amp; Pictures'!A1" display="Text Boxes, Shapes, &amp; Pictures"/>
    <hyperlink ref="B5" location="'Alignment &amp; Sizing'!A1" display="Alignment &amp; Sizing"/>
    <hyperlink ref="B6" location="Hyperlinks!A1" display="Hyperlinks"/>
    <hyperlink ref="B7" location="'Camera Tool'!A1" display="Camera Tool"/>
    <hyperlink ref="B8" location="'GoTo Special'!A1" display="GoTo Special"/>
    <hyperlink ref="B9" location="'Goal Seek'!A1" display="Goal Seek"/>
    <hyperlink ref="B10" location="'Text to Columns'!A1" display="Text to Columns"/>
    <hyperlink ref="B11" location="'Remove Duplicates'!A1" display="Remove Duplicates"/>
    <hyperlink ref="B12" location="'Data Validation'!A1" display="Data Validation"/>
    <hyperlink ref="B13" location="'Subtotals in your dataset'!A1" display="Subtotals in your dataset"/>
    <hyperlink ref="B14" location="'Using Defined Names wisely'!A1" display="Using Defined Names wisely"/>
    <hyperlink ref="B15" location="Sparklines!A1" display="Sparklines"/>
    <hyperlink ref="B16" location="Charting!A1" display="Charting"/>
    <hyperlink ref="B17" location="'Sharing Workbooks'!A1" display="Sharing Workbooks"/>
    <hyperlink ref="B18" location="'Record &amp; use a Macro'!A1" display="Record &amp; use a Macro"/>
    <hyperlink ref="B19" location="'The Developer Tab'!A1" display="The Developer Tab"/>
    <hyperlink ref="B20" location="'Interactive Data &amp; Charting'!A1" display="Interactive Data &amp; Charting"/>
    <hyperlink ref="B21" location="'Intro to VBA'!A1" display="Intro to VBA"/>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145</v>
      </c>
    </row>
    <row r="2" spans="1:12" ht="31.2" x14ac:dyDescent="0.3">
      <c r="A2" s="1" t="s">
        <v>4</v>
      </c>
      <c r="B2" s="1" t="s">
        <v>5</v>
      </c>
      <c r="C2" s="1" t="s">
        <v>6</v>
      </c>
      <c r="D2" s="1" t="s">
        <v>7</v>
      </c>
      <c r="E2" s="2" t="s">
        <v>8</v>
      </c>
      <c r="F2" s="2" t="s">
        <v>9</v>
      </c>
      <c r="G2" s="1" t="s">
        <v>10</v>
      </c>
      <c r="H2" s="2" t="s">
        <v>11</v>
      </c>
      <c r="I2" s="2" t="s">
        <v>12</v>
      </c>
      <c r="K2" s="11">
        <v>1</v>
      </c>
      <c r="L2" s="12" t="s">
        <v>147</v>
      </c>
    </row>
    <row r="3" spans="1:12" x14ac:dyDescent="0.3">
      <c r="A3" s="3">
        <v>1</v>
      </c>
      <c r="B3" s="4" t="s">
        <v>13</v>
      </c>
      <c r="C3" s="5" t="s">
        <v>14</v>
      </c>
      <c r="D3" s="6">
        <v>41600</v>
      </c>
      <c r="E3" s="7">
        <v>4163</v>
      </c>
      <c r="F3" s="8">
        <v>158074286</v>
      </c>
      <c r="G3" s="9">
        <v>41732</v>
      </c>
      <c r="H3" s="7">
        <v>4163</v>
      </c>
      <c r="I3" s="8">
        <v>424668047</v>
      </c>
      <c r="K3" s="11">
        <v>2</v>
      </c>
      <c r="L3" t="s">
        <v>148</v>
      </c>
    </row>
    <row r="4" spans="1:12" x14ac:dyDescent="0.3">
      <c r="A4" s="3">
        <v>2</v>
      </c>
      <c r="B4" s="4" t="s">
        <v>15</v>
      </c>
      <c r="C4" s="5" t="s">
        <v>16</v>
      </c>
      <c r="D4" s="6">
        <v>41397</v>
      </c>
      <c r="E4" s="7">
        <v>4253</v>
      </c>
      <c r="F4" s="8">
        <v>174144585</v>
      </c>
      <c r="G4" s="9">
        <v>41529</v>
      </c>
      <c r="H4" s="7">
        <v>4253</v>
      </c>
      <c r="I4" s="8">
        <v>409013994</v>
      </c>
      <c r="L4" s="13" t="s">
        <v>149</v>
      </c>
    </row>
    <row r="5" spans="1:12" x14ac:dyDescent="0.3">
      <c r="A5" s="3">
        <v>3</v>
      </c>
      <c r="B5" s="4" t="s">
        <v>17</v>
      </c>
      <c r="C5" s="5" t="s">
        <v>16</v>
      </c>
      <c r="D5" s="6">
        <v>41600</v>
      </c>
      <c r="E5" s="7">
        <v>1</v>
      </c>
      <c r="F5" s="8">
        <v>243390</v>
      </c>
      <c r="G5" s="9">
        <v>41837</v>
      </c>
      <c r="H5" s="7">
        <v>3742</v>
      </c>
      <c r="I5" s="8">
        <v>400738009</v>
      </c>
      <c r="K5" s="11"/>
      <c r="L5" s="13" t="s">
        <v>150</v>
      </c>
    </row>
    <row r="6" spans="1:12" x14ac:dyDescent="0.3">
      <c r="A6" s="3">
        <v>4</v>
      </c>
      <c r="B6" s="4" t="s">
        <v>18</v>
      </c>
      <c r="C6" s="5" t="s">
        <v>19</v>
      </c>
      <c r="D6" s="6">
        <v>41458</v>
      </c>
      <c r="E6" s="7">
        <v>3997</v>
      </c>
      <c r="F6" s="8">
        <v>83517315</v>
      </c>
      <c r="G6" s="9">
        <v>41655</v>
      </c>
      <c r="H6" s="7">
        <v>4003</v>
      </c>
      <c r="I6" s="8">
        <v>368061265</v>
      </c>
      <c r="K6" s="11"/>
      <c r="L6" s="13" t="s">
        <v>151</v>
      </c>
    </row>
    <row r="7" spans="1:12" x14ac:dyDescent="0.3">
      <c r="A7" s="3">
        <v>5</v>
      </c>
      <c r="B7" s="4" t="s">
        <v>20</v>
      </c>
      <c r="C7" s="5" t="s">
        <v>21</v>
      </c>
      <c r="D7" s="6">
        <v>41439</v>
      </c>
      <c r="E7" s="7">
        <v>4207</v>
      </c>
      <c r="F7" s="8">
        <v>116619362</v>
      </c>
      <c r="G7" s="9">
        <v>41536</v>
      </c>
      <c r="H7" s="7">
        <v>4207</v>
      </c>
      <c r="I7" s="8">
        <v>291045518</v>
      </c>
      <c r="K7" s="11">
        <v>3</v>
      </c>
      <c r="L7" t="s">
        <v>152</v>
      </c>
    </row>
    <row r="8" spans="1:12" x14ac:dyDescent="0.3">
      <c r="A8" s="3">
        <v>6</v>
      </c>
      <c r="B8" s="4" t="s">
        <v>22</v>
      </c>
      <c r="C8" s="5" t="s">
        <v>21</v>
      </c>
      <c r="D8" s="6">
        <v>41551</v>
      </c>
      <c r="E8" s="7">
        <v>3575</v>
      </c>
      <c r="F8" s="8">
        <v>55785112</v>
      </c>
      <c r="G8" s="9">
        <v>41767</v>
      </c>
      <c r="H8" s="7">
        <v>3820</v>
      </c>
      <c r="I8" s="8">
        <v>274092705</v>
      </c>
      <c r="K8" s="11"/>
      <c r="L8" s="13"/>
    </row>
    <row r="9" spans="1:12" x14ac:dyDescent="0.3">
      <c r="A9" s="3">
        <v>7</v>
      </c>
      <c r="B9" s="4" t="s">
        <v>23</v>
      </c>
      <c r="C9" s="5" t="s">
        <v>16</v>
      </c>
      <c r="D9" s="6">
        <v>41446</v>
      </c>
      <c r="E9" s="7">
        <v>4004</v>
      </c>
      <c r="F9" s="8">
        <v>82429469</v>
      </c>
      <c r="G9" s="9">
        <v>41627</v>
      </c>
      <c r="H9" s="7">
        <v>4004</v>
      </c>
      <c r="I9" s="8">
        <v>268492764</v>
      </c>
      <c r="L9" s="14"/>
    </row>
    <row r="10" spans="1:12" x14ac:dyDescent="0.3">
      <c r="A10" s="3">
        <v>8</v>
      </c>
      <c r="B10" s="4" t="s">
        <v>24</v>
      </c>
      <c r="C10" s="5" t="s">
        <v>21</v>
      </c>
      <c r="D10" s="6">
        <v>41621</v>
      </c>
      <c r="E10" s="7">
        <v>3903</v>
      </c>
      <c r="F10" s="8">
        <v>73645197</v>
      </c>
      <c r="G10" s="9">
        <v>41746</v>
      </c>
      <c r="H10" s="7">
        <v>3928</v>
      </c>
      <c r="I10" s="8">
        <v>258366855</v>
      </c>
      <c r="K10" s="11"/>
      <c r="L10" s="14"/>
    </row>
    <row r="11" spans="1:12" x14ac:dyDescent="0.3">
      <c r="A11" s="3">
        <v>9</v>
      </c>
      <c r="B11" s="4" t="s">
        <v>25</v>
      </c>
      <c r="C11" s="5" t="s">
        <v>19</v>
      </c>
      <c r="D11" s="6">
        <v>41418</v>
      </c>
      <c r="E11" s="7">
        <v>3658</v>
      </c>
      <c r="F11" s="8">
        <v>97375245</v>
      </c>
      <c r="G11" s="9">
        <v>41522</v>
      </c>
      <c r="H11" s="7">
        <v>3771</v>
      </c>
      <c r="I11" s="8">
        <v>238679850</v>
      </c>
      <c r="K11" s="11"/>
      <c r="L11" s="13"/>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extLst>
    <ext xmlns:x15="http://schemas.microsoft.com/office/spreadsheetml/2010/11/main" uri="{F7C9EE02-42E1-4005-9D12-6889AFFD525C}">
      <x15:webExtensions xmlns:xm="http://schemas.microsoft.com/office/excel/2006/main">
        <x15:webExtension appRef="{E6DBE42E-1E5A-4B75-B8D9-EDDF2DE5D68B}">
          <xm:f>'Customizing Excel'!$A$2:$I$102</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157</v>
      </c>
    </row>
    <row r="2" spans="1:12" ht="31.2" x14ac:dyDescent="0.3">
      <c r="A2" s="1" t="s">
        <v>4</v>
      </c>
      <c r="B2" s="1" t="s">
        <v>5</v>
      </c>
      <c r="C2" s="1" t="s">
        <v>6</v>
      </c>
      <c r="D2" s="1" t="s">
        <v>7</v>
      </c>
      <c r="E2" s="2" t="s">
        <v>8</v>
      </c>
      <c r="F2" s="2" t="s">
        <v>9</v>
      </c>
      <c r="G2" s="1" t="s">
        <v>10</v>
      </c>
      <c r="H2" s="2" t="s">
        <v>11</v>
      </c>
      <c r="I2" s="2" t="s">
        <v>12</v>
      </c>
      <c r="K2" s="11">
        <v>1</v>
      </c>
      <c r="L2" s="12" t="s">
        <v>154</v>
      </c>
    </row>
    <row r="3" spans="1:12" x14ac:dyDescent="0.3">
      <c r="A3" s="3">
        <v>1</v>
      </c>
      <c r="B3" s="4" t="s">
        <v>13</v>
      </c>
      <c r="C3" s="5" t="s">
        <v>14</v>
      </c>
      <c r="D3" s="6">
        <v>41600</v>
      </c>
      <c r="E3" s="7">
        <v>4163</v>
      </c>
      <c r="F3" s="8">
        <v>158074286</v>
      </c>
      <c r="G3" s="9">
        <v>41732</v>
      </c>
      <c r="H3" s="7">
        <v>4163</v>
      </c>
      <c r="I3" s="8">
        <v>424668047</v>
      </c>
      <c r="K3" s="11">
        <v>2</v>
      </c>
      <c r="L3" s="12" t="s">
        <v>153</v>
      </c>
    </row>
    <row r="4" spans="1:12" x14ac:dyDescent="0.3">
      <c r="A4" s="3">
        <v>2</v>
      </c>
      <c r="B4" s="4" t="s">
        <v>15</v>
      </c>
      <c r="C4" s="5" t="s">
        <v>16</v>
      </c>
      <c r="D4" s="6">
        <v>41397</v>
      </c>
      <c r="E4" s="7">
        <v>4253</v>
      </c>
      <c r="F4" s="8">
        <v>174144585</v>
      </c>
      <c r="G4" s="9">
        <v>41529</v>
      </c>
      <c r="H4" s="7">
        <v>4253</v>
      </c>
      <c r="I4" s="8">
        <v>409013994</v>
      </c>
      <c r="K4" s="11">
        <v>3</v>
      </c>
      <c r="L4" t="s">
        <v>160</v>
      </c>
    </row>
    <row r="5" spans="1:12" x14ac:dyDescent="0.3">
      <c r="A5" s="3">
        <v>3</v>
      </c>
      <c r="B5" s="4" t="s">
        <v>17</v>
      </c>
      <c r="C5" s="5" t="s">
        <v>16</v>
      </c>
      <c r="D5" s="6">
        <v>41600</v>
      </c>
      <c r="E5" s="7">
        <v>1</v>
      </c>
      <c r="F5" s="8">
        <v>243390</v>
      </c>
      <c r="G5" s="9">
        <v>41837</v>
      </c>
      <c r="H5" s="7">
        <v>3742</v>
      </c>
      <c r="I5" s="8">
        <v>400738009</v>
      </c>
      <c r="K5" s="11">
        <v>4</v>
      </c>
      <c r="L5" t="s">
        <v>156</v>
      </c>
    </row>
    <row r="6" spans="1:12" x14ac:dyDescent="0.3">
      <c r="A6" s="3">
        <v>4</v>
      </c>
      <c r="B6" s="4" t="s">
        <v>18</v>
      </c>
      <c r="C6" s="5" t="s">
        <v>19</v>
      </c>
      <c r="D6" s="6">
        <v>41458</v>
      </c>
      <c r="E6" s="7">
        <v>3997</v>
      </c>
      <c r="F6" s="8">
        <v>83517315</v>
      </c>
      <c r="G6" s="9">
        <v>41655</v>
      </c>
      <c r="H6" s="7">
        <v>4003</v>
      </c>
      <c r="I6" s="8">
        <v>368061265</v>
      </c>
      <c r="K6" s="11">
        <v>5</v>
      </c>
      <c r="L6" t="s">
        <v>155</v>
      </c>
    </row>
    <row r="7" spans="1:12" x14ac:dyDescent="0.3">
      <c r="A7" s="3">
        <v>5</v>
      </c>
      <c r="B7" s="4" t="s">
        <v>20</v>
      </c>
      <c r="C7" s="5" t="s">
        <v>21</v>
      </c>
      <c r="D7" s="6">
        <v>41439</v>
      </c>
      <c r="E7" s="7">
        <v>4207</v>
      </c>
      <c r="F7" s="8">
        <v>116619362</v>
      </c>
      <c r="G7" s="9">
        <v>41536</v>
      </c>
      <c r="H7" s="7">
        <v>4207</v>
      </c>
      <c r="I7" s="8">
        <v>291045518</v>
      </c>
      <c r="K7" s="11">
        <v>6</v>
      </c>
      <c r="L7" t="s">
        <v>161</v>
      </c>
    </row>
    <row r="8" spans="1:12" x14ac:dyDescent="0.3">
      <c r="A8" s="3">
        <v>6</v>
      </c>
      <c r="B8" s="4" t="s">
        <v>22</v>
      </c>
      <c r="C8" s="5" t="s">
        <v>21</v>
      </c>
      <c r="D8" s="6">
        <v>41551</v>
      </c>
      <c r="E8" s="7">
        <v>3575</v>
      </c>
      <c r="F8" s="8">
        <v>55785112</v>
      </c>
      <c r="G8" s="9">
        <v>41767</v>
      </c>
      <c r="H8" s="7">
        <v>3820</v>
      </c>
      <c r="I8" s="8">
        <v>274092705</v>
      </c>
      <c r="K8" s="11"/>
      <c r="L8" s="13" t="s">
        <v>158</v>
      </c>
    </row>
    <row r="9" spans="1:12" x14ac:dyDescent="0.3">
      <c r="A9" s="3">
        <v>7</v>
      </c>
      <c r="B9" s="4" t="s">
        <v>23</v>
      </c>
      <c r="C9" s="5" t="s">
        <v>16</v>
      </c>
      <c r="D9" s="6">
        <v>41446</v>
      </c>
      <c r="E9" s="7">
        <v>4004</v>
      </c>
      <c r="F9" s="8">
        <v>82429469</v>
      </c>
      <c r="G9" s="9">
        <v>41627</v>
      </c>
      <c r="H9" s="7">
        <v>4004</v>
      </c>
      <c r="I9" s="8">
        <v>268492764</v>
      </c>
      <c r="K9" s="11"/>
      <c r="L9" s="13" t="s">
        <v>332</v>
      </c>
    </row>
    <row r="10" spans="1:12" x14ac:dyDescent="0.3">
      <c r="A10" s="3">
        <v>8</v>
      </c>
      <c r="B10" s="4" t="s">
        <v>24</v>
      </c>
      <c r="C10" s="5" t="s">
        <v>21</v>
      </c>
      <c r="D10" s="6">
        <v>41621</v>
      </c>
      <c r="E10" s="7">
        <v>3903</v>
      </c>
      <c r="F10" s="8">
        <v>73645197</v>
      </c>
      <c r="G10" s="9">
        <v>41746</v>
      </c>
      <c r="H10" s="7">
        <v>3928</v>
      </c>
      <c r="I10" s="8">
        <v>258366855</v>
      </c>
      <c r="K10" s="11"/>
      <c r="L10" s="13" t="s">
        <v>159</v>
      </c>
    </row>
    <row r="11" spans="1:12" x14ac:dyDescent="0.3">
      <c r="A11" s="3">
        <v>9</v>
      </c>
      <c r="B11" s="4" t="s">
        <v>25</v>
      </c>
      <c r="C11" s="5" t="s">
        <v>19</v>
      </c>
      <c r="D11" s="6">
        <v>41418</v>
      </c>
      <c r="E11" s="7">
        <v>3658</v>
      </c>
      <c r="F11" s="8">
        <v>97375245</v>
      </c>
      <c r="G11" s="9">
        <v>41522</v>
      </c>
      <c r="H11" s="7">
        <v>3771</v>
      </c>
      <c r="I11" s="8">
        <v>238679850</v>
      </c>
      <c r="K11" s="11"/>
      <c r="L11" s="13" t="s">
        <v>162</v>
      </c>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181</v>
      </c>
    </row>
    <row r="2" spans="1:12" ht="31.2" x14ac:dyDescent="0.3">
      <c r="A2" s="1" t="s">
        <v>4</v>
      </c>
      <c r="B2" s="1" t="s">
        <v>5</v>
      </c>
      <c r="C2" s="1" t="s">
        <v>6</v>
      </c>
      <c r="D2" s="1" t="s">
        <v>7</v>
      </c>
      <c r="E2" s="2" t="s">
        <v>8</v>
      </c>
      <c r="F2" s="2" t="s">
        <v>9</v>
      </c>
      <c r="G2" s="1" t="s">
        <v>10</v>
      </c>
      <c r="H2" s="2" t="s">
        <v>11</v>
      </c>
      <c r="I2" s="2" t="s">
        <v>12</v>
      </c>
      <c r="K2" s="11">
        <v>1</v>
      </c>
      <c r="L2" s="12" t="s">
        <v>163</v>
      </c>
    </row>
    <row r="3" spans="1:12" x14ac:dyDescent="0.3">
      <c r="A3" s="3">
        <v>1</v>
      </c>
      <c r="B3" s="4" t="s">
        <v>13</v>
      </c>
      <c r="C3" s="5" t="s">
        <v>14</v>
      </c>
      <c r="D3" s="6">
        <v>41600</v>
      </c>
      <c r="E3" s="7">
        <v>4163</v>
      </c>
      <c r="F3" s="8">
        <v>158074286</v>
      </c>
      <c r="G3" s="9">
        <v>41732</v>
      </c>
      <c r="H3" s="7">
        <v>4163</v>
      </c>
      <c r="I3" s="8">
        <v>424668047</v>
      </c>
      <c r="K3" s="11">
        <v>2</v>
      </c>
      <c r="L3" t="s">
        <v>164</v>
      </c>
    </row>
    <row r="4" spans="1:12" x14ac:dyDescent="0.3">
      <c r="A4" s="3">
        <v>2</v>
      </c>
      <c r="B4" s="4" t="s">
        <v>15</v>
      </c>
      <c r="C4" s="5" t="s">
        <v>16</v>
      </c>
      <c r="D4" s="6">
        <v>41397</v>
      </c>
      <c r="E4" s="7">
        <v>4253</v>
      </c>
      <c r="F4" s="8">
        <v>174144585</v>
      </c>
      <c r="G4" s="9">
        <v>41529</v>
      </c>
      <c r="H4" s="7">
        <v>4253</v>
      </c>
      <c r="I4" s="8">
        <v>409013994</v>
      </c>
      <c r="K4" s="11">
        <v>3</v>
      </c>
      <c r="L4" t="s">
        <v>165</v>
      </c>
    </row>
    <row r="5" spans="1:12" x14ac:dyDescent="0.3">
      <c r="A5" s="3">
        <v>3</v>
      </c>
      <c r="B5" s="4" t="s">
        <v>17</v>
      </c>
      <c r="C5" s="5" t="s">
        <v>16</v>
      </c>
      <c r="D5" s="6">
        <v>41600</v>
      </c>
      <c r="E5" s="7">
        <v>1</v>
      </c>
      <c r="F5" s="8">
        <v>243390</v>
      </c>
      <c r="G5" s="9">
        <v>41837</v>
      </c>
      <c r="H5" s="7">
        <v>3742</v>
      </c>
      <c r="I5" s="8">
        <v>400738009</v>
      </c>
      <c r="K5" s="11"/>
      <c r="L5" s="13" t="s">
        <v>166</v>
      </c>
    </row>
    <row r="6" spans="1:12" x14ac:dyDescent="0.3">
      <c r="A6" s="3">
        <v>4</v>
      </c>
      <c r="B6" s="4" t="s">
        <v>18</v>
      </c>
      <c r="C6" s="5" t="s">
        <v>19</v>
      </c>
      <c r="D6" s="6">
        <v>41458</v>
      </c>
      <c r="E6" s="7">
        <v>3997</v>
      </c>
      <c r="F6" s="8">
        <v>83517315</v>
      </c>
      <c r="G6" s="9">
        <v>41655</v>
      </c>
      <c r="H6" s="7">
        <v>4003</v>
      </c>
      <c r="I6" s="8">
        <v>368061265</v>
      </c>
      <c r="K6" s="11">
        <v>4</v>
      </c>
      <c r="L6" t="s">
        <v>167</v>
      </c>
    </row>
    <row r="7" spans="1:12" x14ac:dyDescent="0.3">
      <c r="A7" s="3">
        <v>5</v>
      </c>
      <c r="B7" s="4" t="s">
        <v>20</v>
      </c>
      <c r="C7" s="5" t="s">
        <v>21</v>
      </c>
      <c r="D7" s="6">
        <v>41439</v>
      </c>
      <c r="E7" s="7">
        <v>4207</v>
      </c>
      <c r="F7" s="8">
        <v>116619362</v>
      </c>
      <c r="G7" s="9">
        <v>41536</v>
      </c>
      <c r="H7" s="7">
        <v>4207</v>
      </c>
      <c r="I7" s="8">
        <v>291045518</v>
      </c>
      <c r="K7" s="11"/>
      <c r="L7" s="13" t="s">
        <v>166</v>
      </c>
    </row>
    <row r="8" spans="1:12" x14ac:dyDescent="0.3">
      <c r="A8" s="3">
        <v>6</v>
      </c>
      <c r="B8" s="4" t="s">
        <v>22</v>
      </c>
      <c r="C8" s="5" t="s">
        <v>21</v>
      </c>
      <c r="D8" s="6">
        <v>41551</v>
      </c>
      <c r="E8" s="7">
        <v>3575</v>
      </c>
      <c r="F8" s="8">
        <v>55785112</v>
      </c>
      <c r="G8" s="9">
        <v>41767</v>
      </c>
      <c r="H8" s="7">
        <v>3820</v>
      </c>
      <c r="I8" s="8">
        <v>274092705</v>
      </c>
      <c r="K8" s="11">
        <v>5</v>
      </c>
      <c r="L8" t="s">
        <v>179</v>
      </c>
    </row>
    <row r="9" spans="1:12" x14ac:dyDescent="0.3">
      <c r="A9" s="3">
        <v>7</v>
      </c>
      <c r="B9" s="4" t="s">
        <v>23</v>
      </c>
      <c r="C9" s="5" t="s">
        <v>16</v>
      </c>
      <c r="D9" s="6">
        <v>41446</v>
      </c>
      <c r="E9" s="7">
        <v>4004</v>
      </c>
      <c r="F9" s="8">
        <v>82429469</v>
      </c>
      <c r="G9" s="9">
        <v>41627</v>
      </c>
      <c r="H9" s="7">
        <v>4004</v>
      </c>
      <c r="I9" s="8">
        <v>268492764</v>
      </c>
      <c r="K9" s="11"/>
    </row>
    <row r="10" spans="1:12" x14ac:dyDescent="0.3">
      <c r="A10" s="3">
        <v>8</v>
      </c>
      <c r="B10" s="4" t="s">
        <v>24</v>
      </c>
      <c r="C10" s="5" t="s">
        <v>21</v>
      </c>
      <c r="D10" s="6">
        <v>41621</v>
      </c>
      <c r="E10" s="7">
        <v>3903</v>
      </c>
      <c r="F10" s="8">
        <v>73645197</v>
      </c>
      <c r="G10" s="9">
        <v>41746</v>
      </c>
      <c r="H10" s="7">
        <v>3928</v>
      </c>
      <c r="I10" s="8">
        <v>258366855</v>
      </c>
      <c r="K10" s="11"/>
    </row>
    <row r="11" spans="1:12" x14ac:dyDescent="0.3">
      <c r="A11" s="3">
        <v>9</v>
      </c>
      <c r="B11" s="4" t="s">
        <v>25</v>
      </c>
      <c r="C11" s="5" t="s">
        <v>19</v>
      </c>
      <c r="D11" s="6">
        <v>41418</v>
      </c>
      <c r="E11" s="7">
        <v>3658</v>
      </c>
      <c r="F11" s="8">
        <v>97375245</v>
      </c>
      <c r="G11" s="9">
        <v>41522</v>
      </c>
      <c r="H11" s="7">
        <v>3771</v>
      </c>
      <c r="I11" s="8">
        <v>238679850</v>
      </c>
      <c r="K11" s="11"/>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c r="K13" s="56" t="s">
        <v>460</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146</v>
      </c>
    </row>
    <row r="2" spans="1:12" ht="31.2" x14ac:dyDescent="0.3">
      <c r="A2" s="1" t="s">
        <v>4</v>
      </c>
      <c r="B2" s="1" t="s">
        <v>5</v>
      </c>
      <c r="C2" s="1" t="s">
        <v>6</v>
      </c>
      <c r="D2" s="1" t="s">
        <v>7</v>
      </c>
      <c r="E2" s="2" t="s">
        <v>8</v>
      </c>
      <c r="F2" s="2" t="s">
        <v>9</v>
      </c>
      <c r="G2" s="1" t="s">
        <v>10</v>
      </c>
      <c r="H2" s="2" t="s">
        <v>11</v>
      </c>
      <c r="I2" s="2" t="s">
        <v>12</v>
      </c>
      <c r="K2" s="11">
        <v>1</v>
      </c>
      <c r="L2" s="12" t="s">
        <v>168</v>
      </c>
    </row>
    <row r="3" spans="1:12" x14ac:dyDescent="0.3">
      <c r="A3" s="3">
        <v>1</v>
      </c>
      <c r="B3" s="4" t="s">
        <v>13</v>
      </c>
      <c r="C3" s="5" t="s">
        <v>14</v>
      </c>
      <c r="D3" s="6">
        <v>41600</v>
      </c>
      <c r="E3" s="7">
        <v>4163</v>
      </c>
      <c r="F3" s="8">
        <v>158074286</v>
      </c>
      <c r="G3" s="9">
        <v>41732</v>
      </c>
      <c r="H3" s="7">
        <v>4163</v>
      </c>
      <c r="I3" s="8">
        <v>424668047</v>
      </c>
      <c r="K3" s="11">
        <v>2</v>
      </c>
      <c r="L3" t="s">
        <v>169</v>
      </c>
    </row>
    <row r="4" spans="1:12" x14ac:dyDescent="0.3">
      <c r="A4" s="3">
        <v>2</v>
      </c>
      <c r="B4" s="4" t="s">
        <v>15</v>
      </c>
      <c r="C4" s="5" t="s">
        <v>16</v>
      </c>
      <c r="D4" s="6">
        <v>41397</v>
      </c>
      <c r="E4" s="7">
        <v>4253</v>
      </c>
      <c r="F4" s="8">
        <v>174144585</v>
      </c>
      <c r="G4" s="9">
        <v>41529</v>
      </c>
      <c r="H4" s="7">
        <v>4253</v>
      </c>
      <c r="I4" s="8">
        <v>409013994</v>
      </c>
      <c r="K4" s="11">
        <v>3</v>
      </c>
      <c r="L4" t="s">
        <v>170</v>
      </c>
    </row>
    <row r="5" spans="1:12" x14ac:dyDescent="0.3">
      <c r="A5" s="3">
        <v>3</v>
      </c>
      <c r="B5" s="4" t="s">
        <v>17</v>
      </c>
      <c r="C5" s="5" t="s">
        <v>16</v>
      </c>
      <c r="D5" s="6">
        <v>41600</v>
      </c>
      <c r="E5" s="7">
        <v>1</v>
      </c>
      <c r="F5" s="8">
        <v>243390</v>
      </c>
      <c r="G5" s="9">
        <v>41837</v>
      </c>
      <c r="H5" s="7">
        <v>3742</v>
      </c>
      <c r="I5" s="8">
        <v>400738009</v>
      </c>
      <c r="K5" s="11">
        <v>4</v>
      </c>
      <c r="L5" t="s">
        <v>174</v>
      </c>
    </row>
    <row r="6" spans="1:12" x14ac:dyDescent="0.3">
      <c r="A6" s="3">
        <v>4</v>
      </c>
      <c r="B6" s="4" t="s">
        <v>18</v>
      </c>
      <c r="C6" s="5" t="s">
        <v>19</v>
      </c>
      <c r="D6" s="6">
        <v>41458</v>
      </c>
      <c r="E6" s="7">
        <v>3997</v>
      </c>
      <c r="F6" s="8">
        <v>83517315</v>
      </c>
      <c r="G6" s="9">
        <v>41655</v>
      </c>
      <c r="H6" s="7">
        <v>4003</v>
      </c>
      <c r="I6" s="8">
        <v>368061265</v>
      </c>
      <c r="K6" s="11">
        <v>5</v>
      </c>
      <c r="L6" t="s">
        <v>175</v>
      </c>
    </row>
    <row r="7" spans="1:12" x14ac:dyDescent="0.3">
      <c r="A7" s="3">
        <v>5</v>
      </c>
      <c r="B7" s="4" t="s">
        <v>20</v>
      </c>
      <c r="C7" s="5" t="s">
        <v>21</v>
      </c>
      <c r="D7" s="6">
        <v>41439</v>
      </c>
      <c r="E7" s="7">
        <v>4207</v>
      </c>
      <c r="F7" s="8">
        <v>116619362</v>
      </c>
      <c r="G7" s="9">
        <v>41536</v>
      </c>
      <c r="H7" s="7">
        <v>4207</v>
      </c>
      <c r="I7" s="8">
        <v>291045518</v>
      </c>
      <c r="K7" s="11">
        <v>6</v>
      </c>
      <c r="L7" t="s">
        <v>171</v>
      </c>
    </row>
    <row r="8" spans="1:12" x14ac:dyDescent="0.3">
      <c r="A8" s="3">
        <v>6</v>
      </c>
      <c r="B8" s="4" t="s">
        <v>22</v>
      </c>
      <c r="C8" s="5" t="s">
        <v>21</v>
      </c>
      <c r="D8" s="6">
        <v>41551</v>
      </c>
      <c r="E8" s="7">
        <v>3575</v>
      </c>
      <c r="F8" s="8">
        <v>55785112</v>
      </c>
      <c r="G8" s="9">
        <v>41767</v>
      </c>
      <c r="H8" s="7">
        <v>3820</v>
      </c>
      <c r="I8" s="8">
        <v>274092705</v>
      </c>
      <c r="K8" s="11">
        <v>7</v>
      </c>
      <c r="L8" t="s">
        <v>172</v>
      </c>
    </row>
    <row r="9" spans="1:12" x14ac:dyDescent="0.3">
      <c r="A9" s="3">
        <v>7</v>
      </c>
      <c r="B9" s="4" t="s">
        <v>23</v>
      </c>
      <c r="C9" s="5" t="s">
        <v>16</v>
      </c>
      <c r="D9" s="6">
        <v>41446</v>
      </c>
      <c r="E9" s="7">
        <v>4004</v>
      </c>
      <c r="F9" s="8">
        <v>82429469</v>
      </c>
      <c r="G9" s="9">
        <v>41627</v>
      </c>
      <c r="H9" s="7">
        <v>4004</v>
      </c>
      <c r="I9" s="8">
        <v>268492764</v>
      </c>
      <c r="K9" s="11">
        <v>8</v>
      </c>
      <c r="L9" t="s">
        <v>173</v>
      </c>
    </row>
    <row r="10" spans="1:12" x14ac:dyDescent="0.3">
      <c r="A10" s="3">
        <v>8</v>
      </c>
      <c r="B10" s="4" t="s">
        <v>24</v>
      </c>
      <c r="C10" s="5" t="s">
        <v>21</v>
      </c>
      <c r="D10" s="6">
        <v>41621</v>
      </c>
      <c r="E10" s="7">
        <v>3903</v>
      </c>
      <c r="F10" s="8">
        <v>73645197</v>
      </c>
      <c r="G10" s="9">
        <v>41746</v>
      </c>
      <c r="H10" s="7">
        <v>3928</v>
      </c>
      <c r="I10" s="8">
        <v>258366855</v>
      </c>
      <c r="K10" s="11">
        <v>9</v>
      </c>
      <c r="L10" t="s">
        <v>349</v>
      </c>
    </row>
    <row r="11" spans="1:12" x14ac:dyDescent="0.3">
      <c r="A11" s="3">
        <v>9</v>
      </c>
      <c r="B11" s="4" t="s">
        <v>25</v>
      </c>
      <c r="C11" s="5" t="s">
        <v>19</v>
      </c>
      <c r="D11" s="6">
        <v>41418</v>
      </c>
      <c r="E11" s="7">
        <v>3658</v>
      </c>
      <c r="F11" s="8">
        <v>97375245</v>
      </c>
      <c r="G11" s="9">
        <v>41522</v>
      </c>
      <c r="H11" s="7">
        <v>3771</v>
      </c>
      <c r="I11" s="8">
        <v>238679850</v>
      </c>
      <c r="K11" s="11">
        <v>10</v>
      </c>
      <c r="L11" t="s">
        <v>353</v>
      </c>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2</v>
      </c>
    </row>
    <row r="2" spans="1:12" ht="31.2" x14ac:dyDescent="0.3">
      <c r="A2" s="1" t="s">
        <v>4</v>
      </c>
      <c r="B2" s="1" t="s">
        <v>5</v>
      </c>
      <c r="C2" s="1" t="s">
        <v>6</v>
      </c>
      <c r="D2" s="1" t="s">
        <v>7</v>
      </c>
      <c r="E2" s="2" t="s">
        <v>8</v>
      </c>
      <c r="F2" s="2" t="s">
        <v>9</v>
      </c>
      <c r="G2" s="1" t="s">
        <v>10</v>
      </c>
      <c r="H2" s="2" t="s">
        <v>11</v>
      </c>
      <c r="I2" s="2" t="s">
        <v>12</v>
      </c>
      <c r="K2" s="11">
        <v>1</v>
      </c>
      <c r="L2" s="12" t="s">
        <v>176</v>
      </c>
    </row>
    <row r="3" spans="1:12" x14ac:dyDescent="0.3">
      <c r="A3" s="3">
        <v>1</v>
      </c>
      <c r="B3" s="4" t="s">
        <v>13</v>
      </c>
      <c r="C3" s="5" t="s">
        <v>14</v>
      </c>
      <c r="D3" s="6">
        <v>41600</v>
      </c>
      <c r="E3" s="7">
        <v>4163</v>
      </c>
      <c r="F3" s="8">
        <v>158074286</v>
      </c>
      <c r="G3" s="9">
        <v>41732</v>
      </c>
      <c r="H3" s="7">
        <v>4163</v>
      </c>
      <c r="I3" s="8">
        <v>424668047</v>
      </c>
      <c r="K3" s="11">
        <v>2</v>
      </c>
      <c r="L3" t="s">
        <v>177</v>
      </c>
    </row>
    <row r="4" spans="1:12" x14ac:dyDescent="0.3">
      <c r="A4" s="3">
        <v>2</v>
      </c>
      <c r="B4" s="4" t="s">
        <v>15</v>
      </c>
      <c r="C4" s="5" t="s">
        <v>16</v>
      </c>
      <c r="D4" s="6">
        <v>41397</v>
      </c>
      <c r="E4" s="7">
        <v>4253</v>
      </c>
      <c r="F4" s="8">
        <v>174144585</v>
      </c>
      <c r="G4" s="9">
        <v>41529</v>
      </c>
      <c r="H4" s="7">
        <v>4253</v>
      </c>
      <c r="I4" s="8">
        <v>409013994</v>
      </c>
      <c r="K4" s="11">
        <v>3</v>
      </c>
      <c r="L4" t="s">
        <v>178</v>
      </c>
    </row>
    <row r="5" spans="1:12" x14ac:dyDescent="0.3">
      <c r="A5" s="3">
        <v>3</v>
      </c>
      <c r="B5" s="4" t="s">
        <v>17</v>
      </c>
      <c r="C5" s="5" t="s">
        <v>16</v>
      </c>
      <c r="D5" s="6">
        <v>41600</v>
      </c>
      <c r="E5" s="7">
        <v>1</v>
      </c>
      <c r="F5" s="8">
        <v>243390</v>
      </c>
      <c r="G5" s="9">
        <v>41837</v>
      </c>
      <c r="H5" s="7">
        <v>3742</v>
      </c>
      <c r="I5" s="8">
        <v>400738009</v>
      </c>
      <c r="K5" s="11">
        <v>4</v>
      </c>
      <c r="L5" t="s">
        <v>180</v>
      </c>
    </row>
    <row r="6" spans="1:12" x14ac:dyDescent="0.3">
      <c r="A6" s="3">
        <v>4</v>
      </c>
      <c r="B6" s="4" t="s">
        <v>18</v>
      </c>
      <c r="C6" s="5" t="s">
        <v>19</v>
      </c>
      <c r="D6" s="6">
        <v>41458</v>
      </c>
      <c r="E6" s="7">
        <v>3997</v>
      </c>
      <c r="F6" s="8">
        <v>83517315</v>
      </c>
      <c r="G6" s="9">
        <v>41655</v>
      </c>
      <c r="H6" s="7">
        <v>4003</v>
      </c>
      <c r="I6" s="8">
        <v>368061265</v>
      </c>
      <c r="K6" s="11"/>
    </row>
    <row r="7" spans="1:12" x14ac:dyDescent="0.3">
      <c r="A7" s="3">
        <v>5</v>
      </c>
      <c r="B7" s="4" t="s">
        <v>20</v>
      </c>
      <c r="C7" s="5" t="s">
        <v>21</v>
      </c>
      <c r="D7" s="6">
        <v>41439</v>
      </c>
      <c r="E7" s="7">
        <v>4207</v>
      </c>
      <c r="F7" s="8">
        <v>116619362</v>
      </c>
      <c r="G7" s="9">
        <v>41536</v>
      </c>
      <c r="H7" s="7">
        <v>4207</v>
      </c>
      <c r="I7" s="8">
        <v>291045518</v>
      </c>
      <c r="K7" s="11"/>
    </row>
    <row r="8" spans="1:12" x14ac:dyDescent="0.3">
      <c r="A8" s="3">
        <v>6</v>
      </c>
      <c r="B8" s="4" t="s">
        <v>22</v>
      </c>
      <c r="C8" s="5" t="s">
        <v>21</v>
      </c>
      <c r="D8" s="6">
        <v>41551</v>
      </c>
      <c r="E8" s="7">
        <v>3575</v>
      </c>
      <c r="F8" s="8">
        <v>55785112</v>
      </c>
      <c r="G8" s="9">
        <v>41767</v>
      </c>
      <c r="H8" s="7">
        <v>3820</v>
      </c>
      <c r="I8" s="8">
        <v>274092705</v>
      </c>
      <c r="K8" s="11"/>
    </row>
    <row r="9" spans="1:12" x14ac:dyDescent="0.3">
      <c r="A9" s="3">
        <v>7</v>
      </c>
      <c r="B9" s="4" t="s">
        <v>23</v>
      </c>
      <c r="C9" s="5" t="s">
        <v>16</v>
      </c>
      <c r="D9" s="6">
        <v>41446</v>
      </c>
      <c r="E9" s="7">
        <v>4004</v>
      </c>
      <c r="F9" s="8">
        <v>82429469</v>
      </c>
      <c r="G9" s="9">
        <v>41627</v>
      </c>
      <c r="H9" s="7">
        <v>4004</v>
      </c>
      <c r="I9" s="8">
        <v>268492764</v>
      </c>
      <c r="K9" s="11"/>
    </row>
    <row r="10" spans="1:12" x14ac:dyDescent="0.3">
      <c r="A10" s="3">
        <v>8</v>
      </c>
      <c r="B10" s="4" t="s">
        <v>24</v>
      </c>
      <c r="C10" s="5" t="s">
        <v>21</v>
      </c>
      <c r="D10" s="6">
        <v>41621</v>
      </c>
      <c r="E10" s="7">
        <v>3903</v>
      </c>
      <c r="F10" s="8">
        <v>73645197</v>
      </c>
      <c r="G10" s="9">
        <v>41746</v>
      </c>
      <c r="H10" s="7">
        <v>3928</v>
      </c>
      <c r="I10" s="8">
        <v>258366855</v>
      </c>
      <c r="K10" s="11"/>
    </row>
    <row r="11" spans="1:12" x14ac:dyDescent="0.3">
      <c r="A11" s="3">
        <v>9</v>
      </c>
      <c r="B11" s="4" t="s">
        <v>25</v>
      </c>
      <c r="C11" s="5" t="s">
        <v>19</v>
      </c>
      <c r="D11" s="6">
        <v>41418</v>
      </c>
      <c r="E11" s="7">
        <v>3658</v>
      </c>
      <c r="F11" s="8">
        <v>97375245</v>
      </c>
      <c r="G11" s="9">
        <v>41522</v>
      </c>
      <c r="H11" s="7">
        <v>3771</v>
      </c>
      <c r="I11" s="8">
        <v>238679850</v>
      </c>
      <c r="K11" s="11"/>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L102"/>
  <sheetViews>
    <sheetView workbookViewId="0">
      <selection activeCell="M12" sqref="M12"/>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136</v>
      </c>
    </row>
    <row r="2" spans="1:12" ht="31.2" x14ac:dyDescent="0.3">
      <c r="A2" s="1" t="s">
        <v>4</v>
      </c>
      <c r="B2" s="1" t="s">
        <v>5</v>
      </c>
      <c r="C2" s="1" t="s">
        <v>6</v>
      </c>
      <c r="D2" s="1" t="s">
        <v>7</v>
      </c>
      <c r="E2" s="2" t="s">
        <v>8</v>
      </c>
      <c r="F2" s="2" t="s">
        <v>9</v>
      </c>
      <c r="G2" s="1" t="s">
        <v>10</v>
      </c>
      <c r="H2" s="2" t="s">
        <v>11</v>
      </c>
      <c r="I2" s="2" t="s">
        <v>12</v>
      </c>
      <c r="K2" s="11">
        <v>1</v>
      </c>
      <c r="L2" s="12" t="s">
        <v>182</v>
      </c>
    </row>
    <row r="3" spans="1:12" x14ac:dyDescent="0.3">
      <c r="A3" s="21">
        <v>1</v>
      </c>
      <c r="B3" s="22" t="s">
        <v>13</v>
      </c>
      <c r="C3" s="15" t="s">
        <v>14</v>
      </c>
      <c r="D3" s="23">
        <v>41600</v>
      </c>
      <c r="E3" s="20">
        <v>4163</v>
      </c>
      <c r="F3" s="18">
        <v>158074286</v>
      </c>
      <c r="G3" s="24">
        <v>41732</v>
      </c>
      <c r="H3" s="20">
        <v>4163</v>
      </c>
      <c r="I3" s="18">
        <v>424668047</v>
      </c>
      <c r="K3" s="11">
        <v>2</v>
      </c>
      <c r="L3" t="s">
        <v>183</v>
      </c>
    </row>
    <row r="4" spans="1:12" x14ac:dyDescent="0.3">
      <c r="A4" s="21">
        <v>2</v>
      </c>
      <c r="B4" s="22" t="s">
        <v>15</v>
      </c>
      <c r="C4" s="15" t="s">
        <v>16</v>
      </c>
      <c r="D4" s="23">
        <v>41397</v>
      </c>
      <c r="E4" s="20">
        <v>4253</v>
      </c>
      <c r="F4" s="18">
        <v>174144585</v>
      </c>
      <c r="G4" s="24">
        <v>41529</v>
      </c>
      <c r="H4" s="20">
        <v>4253</v>
      </c>
      <c r="I4" s="18">
        <v>409013994</v>
      </c>
      <c r="K4" s="11">
        <v>3</v>
      </c>
      <c r="L4" t="s">
        <v>461</v>
      </c>
    </row>
    <row r="5" spans="1:12" x14ac:dyDescent="0.3">
      <c r="A5" s="21">
        <v>3</v>
      </c>
      <c r="B5" s="22" t="s">
        <v>17</v>
      </c>
      <c r="C5" s="15" t="s">
        <v>16</v>
      </c>
      <c r="D5" s="23">
        <v>41600</v>
      </c>
      <c r="E5" s="20">
        <v>1</v>
      </c>
      <c r="F5" s="18">
        <v>243390</v>
      </c>
      <c r="G5" s="24">
        <v>41837</v>
      </c>
      <c r="H5" s="20">
        <v>3742</v>
      </c>
      <c r="I5" s="18">
        <v>400738009</v>
      </c>
      <c r="K5" s="11"/>
    </row>
    <row r="6" spans="1:12" x14ac:dyDescent="0.3">
      <c r="A6" s="21">
        <v>4</v>
      </c>
      <c r="B6" s="22" t="s">
        <v>18</v>
      </c>
      <c r="C6" s="15" t="s">
        <v>19</v>
      </c>
      <c r="D6" s="23">
        <v>41458</v>
      </c>
      <c r="E6" s="20">
        <v>3997</v>
      </c>
      <c r="F6" s="18">
        <v>83517315</v>
      </c>
      <c r="G6" s="24">
        <v>41655</v>
      </c>
      <c r="H6" s="20">
        <v>4003</v>
      </c>
      <c r="I6" s="18">
        <v>368061265</v>
      </c>
      <c r="K6" s="11"/>
    </row>
    <row r="7" spans="1:12" x14ac:dyDescent="0.3">
      <c r="A7" s="21">
        <v>5</v>
      </c>
      <c r="B7" s="22" t="s">
        <v>20</v>
      </c>
      <c r="C7" s="15" t="s">
        <v>21</v>
      </c>
      <c r="D7" s="23">
        <v>41439</v>
      </c>
      <c r="E7" s="20">
        <v>4207</v>
      </c>
      <c r="F7" s="18">
        <v>116619362</v>
      </c>
      <c r="G7" s="24">
        <v>41536</v>
      </c>
      <c r="H7" s="20">
        <v>4207</v>
      </c>
      <c r="I7" s="18">
        <v>291045518</v>
      </c>
      <c r="K7" s="11"/>
    </row>
    <row r="8" spans="1:12" x14ac:dyDescent="0.3">
      <c r="A8" s="21">
        <v>6</v>
      </c>
      <c r="B8" s="22" t="s">
        <v>22</v>
      </c>
      <c r="C8" s="15" t="s">
        <v>21</v>
      </c>
      <c r="D8" s="23">
        <v>41551</v>
      </c>
      <c r="E8" s="20">
        <v>3575</v>
      </c>
      <c r="F8" s="18">
        <v>55785112</v>
      </c>
      <c r="G8" s="24">
        <v>41767</v>
      </c>
      <c r="H8" s="20">
        <v>3820</v>
      </c>
      <c r="I8" s="18">
        <v>274092705</v>
      </c>
      <c r="K8" s="11"/>
    </row>
    <row r="9" spans="1:12" x14ac:dyDescent="0.3">
      <c r="A9" s="21">
        <v>7</v>
      </c>
      <c r="B9" s="22" t="s">
        <v>23</v>
      </c>
      <c r="C9" s="15" t="s">
        <v>16</v>
      </c>
      <c r="D9" s="23">
        <v>41446</v>
      </c>
      <c r="E9" s="20">
        <v>4004</v>
      </c>
      <c r="F9" s="18">
        <v>82429469</v>
      </c>
      <c r="G9" s="24">
        <v>41627</v>
      </c>
      <c r="H9" s="20">
        <v>4004</v>
      </c>
      <c r="I9" s="18">
        <v>268492764</v>
      </c>
      <c r="K9" s="11"/>
    </row>
    <row r="10" spans="1:12" x14ac:dyDescent="0.3">
      <c r="A10" s="21">
        <v>8</v>
      </c>
      <c r="B10" s="22" t="s">
        <v>24</v>
      </c>
      <c r="C10" s="15" t="s">
        <v>21</v>
      </c>
      <c r="D10" s="23">
        <v>41621</v>
      </c>
      <c r="E10" s="20">
        <v>3903</v>
      </c>
      <c r="F10" s="18">
        <v>73645197</v>
      </c>
      <c r="G10" s="24">
        <v>41746</v>
      </c>
      <c r="H10" s="20">
        <v>3928</v>
      </c>
      <c r="I10" s="18">
        <v>258366855</v>
      </c>
      <c r="K10" s="11"/>
    </row>
    <row r="11" spans="1:12" x14ac:dyDescent="0.3">
      <c r="A11" s="21">
        <v>9</v>
      </c>
      <c r="B11" s="22" t="s">
        <v>25</v>
      </c>
      <c r="C11" s="15" t="s">
        <v>19</v>
      </c>
      <c r="D11" s="23">
        <v>41418</v>
      </c>
      <c r="E11" s="20">
        <v>3658</v>
      </c>
      <c r="F11" s="18">
        <v>97375245</v>
      </c>
      <c r="G11" s="24">
        <v>41522</v>
      </c>
      <c r="H11" s="20">
        <v>3771</v>
      </c>
      <c r="I11" s="18">
        <v>238679850</v>
      </c>
      <c r="K11" s="11"/>
    </row>
    <row r="12" spans="1:12" x14ac:dyDescent="0.3">
      <c r="A12" s="21">
        <v>10</v>
      </c>
      <c r="B12" s="22" t="s">
        <v>26</v>
      </c>
      <c r="C12" s="15" t="s">
        <v>16</v>
      </c>
      <c r="D12" s="23">
        <v>41341</v>
      </c>
      <c r="E12" s="20">
        <v>3912</v>
      </c>
      <c r="F12" s="18">
        <v>79110453</v>
      </c>
      <c r="G12" s="24">
        <v>41473</v>
      </c>
      <c r="H12" s="20">
        <v>3912</v>
      </c>
      <c r="I12" s="18">
        <v>234911825</v>
      </c>
    </row>
    <row r="13" spans="1:12" x14ac:dyDescent="0.3">
      <c r="A13" s="21">
        <v>11</v>
      </c>
      <c r="B13" s="22" t="s">
        <v>27</v>
      </c>
      <c r="C13" s="15" t="s">
        <v>28</v>
      </c>
      <c r="D13" s="23">
        <v>41410</v>
      </c>
      <c r="E13" s="20">
        <v>3868</v>
      </c>
      <c r="F13" s="18">
        <v>70165559</v>
      </c>
      <c r="G13" s="24">
        <v>41529</v>
      </c>
      <c r="H13" s="20">
        <v>3907</v>
      </c>
      <c r="I13" s="18">
        <v>228778661</v>
      </c>
    </row>
    <row r="14" spans="1:12" x14ac:dyDescent="0.3">
      <c r="A14" s="21">
        <v>12</v>
      </c>
      <c r="B14" s="22" t="s">
        <v>29</v>
      </c>
      <c r="C14" s="15" t="s">
        <v>16</v>
      </c>
      <c r="D14" s="23">
        <v>41586</v>
      </c>
      <c r="E14" s="20">
        <v>3841</v>
      </c>
      <c r="F14" s="18">
        <v>85737841</v>
      </c>
      <c r="G14" s="24">
        <v>41746</v>
      </c>
      <c r="H14" s="20">
        <v>3841</v>
      </c>
      <c r="I14" s="18">
        <v>206362140</v>
      </c>
    </row>
    <row r="15" spans="1:12" x14ac:dyDescent="0.3">
      <c r="A15" s="21">
        <v>13</v>
      </c>
      <c r="B15" s="22" t="s">
        <v>30</v>
      </c>
      <c r="C15" s="15" t="s">
        <v>28</v>
      </c>
      <c r="D15" s="23">
        <v>41446</v>
      </c>
      <c r="E15" s="20">
        <v>3607</v>
      </c>
      <c r="F15" s="18">
        <v>66411834</v>
      </c>
      <c r="G15" s="24">
        <v>41557</v>
      </c>
      <c r="H15" s="20">
        <v>3607</v>
      </c>
      <c r="I15" s="18">
        <v>202359711</v>
      </c>
    </row>
    <row r="16" spans="1:12" x14ac:dyDescent="0.3">
      <c r="A16" s="21">
        <v>14</v>
      </c>
      <c r="B16" s="22" t="s">
        <v>31</v>
      </c>
      <c r="C16" s="15" t="s">
        <v>32</v>
      </c>
      <c r="D16" s="23">
        <v>41355</v>
      </c>
      <c r="E16" s="20">
        <v>4046</v>
      </c>
      <c r="F16" s="18">
        <v>43639736</v>
      </c>
      <c r="G16" s="24">
        <v>41536</v>
      </c>
      <c r="H16" s="20">
        <v>4065</v>
      </c>
      <c r="I16" s="18">
        <v>187168425</v>
      </c>
    </row>
    <row r="17" spans="1:9" x14ac:dyDescent="0.3">
      <c r="A17" s="21">
        <v>15</v>
      </c>
      <c r="B17" s="22" t="s">
        <v>33</v>
      </c>
      <c r="C17" s="15" t="s">
        <v>32</v>
      </c>
      <c r="D17" s="23">
        <v>41453</v>
      </c>
      <c r="E17" s="20">
        <v>3181</v>
      </c>
      <c r="F17" s="18">
        <v>39115043</v>
      </c>
      <c r="G17" s="24">
        <v>41620</v>
      </c>
      <c r="H17" s="20">
        <v>3184</v>
      </c>
      <c r="I17" s="18">
        <v>159582188</v>
      </c>
    </row>
    <row r="18" spans="1:9" x14ac:dyDescent="0.3">
      <c r="A18" s="21">
        <v>16</v>
      </c>
      <c r="B18" s="22" t="s">
        <v>34</v>
      </c>
      <c r="C18" s="15" t="s">
        <v>21</v>
      </c>
      <c r="D18" s="23">
        <v>41493</v>
      </c>
      <c r="E18" s="20">
        <v>3260</v>
      </c>
      <c r="F18" s="18">
        <v>26419396</v>
      </c>
      <c r="G18" s="24">
        <v>41613</v>
      </c>
      <c r="H18" s="20">
        <v>3445</v>
      </c>
      <c r="I18" s="18">
        <v>150394119</v>
      </c>
    </row>
    <row r="19" spans="1:9" x14ac:dyDescent="0.3">
      <c r="A19" s="21">
        <v>17</v>
      </c>
      <c r="B19" s="22" t="s">
        <v>35</v>
      </c>
      <c r="C19" s="15" t="s">
        <v>36</v>
      </c>
      <c r="D19" s="23">
        <v>41621</v>
      </c>
      <c r="E19" s="20">
        <v>6</v>
      </c>
      <c r="F19" s="18">
        <v>740455</v>
      </c>
      <c r="G19" s="24">
        <v>41735</v>
      </c>
      <c r="H19" s="20">
        <v>2629</v>
      </c>
      <c r="I19" s="18">
        <v>150117807</v>
      </c>
    </row>
    <row r="20" spans="1:9" x14ac:dyDescent="0.3">
      <c r="A20" s="21">
        <v>18</v>
      </c>
      <c r="B20" s="22" t="s">
        <v>37</v>
      </c>
      <c r="C20" s="15" t="s">
        <v>21</v>
      </c>
      <c r="D20" s="23">
        <v>41404</v>
      </c>
      <c r="E20" s="20">
        <v>3535</v>
      </c>
      <c r="F20" s="18">
        <v>50085185</v>
      </c>
      <c r="G20" s="24">
        <v>41508</v>
      </c>
      <c r="H20" s="20">
        <v>3550</v>
      </c>
      <c r="I20" s="18">
        <v>144840419</v>
      </c>
    </row>
    <row r="21" spans="1:9" x14ac:dyDescent="0.3">
      <c r="A21" s="21">
        <v>19</v>
      </c>
      <c r="B21" s="22" t="s">
        <v>38</v>
      </c>
      <c r="C21" s="15" t="s">
        <v>21</v>
      </c>
      <c r="D21" s="23">
        <v>41474</v>
      </c>
      <c r="E21" s="20">
        <v>2903</v>
      </c>
      <c r="F21" s="18">
        <v>41855326</v>
      </c>
      <c r="G21" s="24">
        <v>41578</v>
      </c>
      <c r="H21" s="20">
        <v>3115</v>
      </c>
      <c r="I21" s="18">
        <v>137400141</v>
      </c>
    </row>
    <row r="22" spans="1:9" x14ac:dyDescent="0.3">
      <c r="A22" s="21">
        <v>20</v>
      </c>
      <c r="B22" s="22" t="s">
        <v>39</v>
      </c>
      <c r="C22" s="15" t="s">
        <v>19</v>
      </c>
      <c r="D22" s="23">
        <v>41313</v>
      </c>
      <c r="E22" s="20">
        <v>3141</v>
      </c>
      <c r="F22" s="18">
        <v>34551025</v>
      </c>
      <c r="G22" s="24">
        <v>41431</v>
      </c>
      <c r="H22" s="20">
        <v>3230</v>
      </c>
      <c r="I22" s="18">
        <v>134506920</v>
      </c>
    </row>
    <row r="23" spans="1:9" x14ac:dyDescent="0.3">
      <c r="A23" s="21">
        <v>21</v>
      </c>
      <c r="B23" s="22" t="s">
        <v>40</v>
      </c>
      <c r="C23" s="15" t="s">
        <v>36</v>
      </c>
      <c r="D23" s="23">
        <v>41467</v>
      </c>
      <c r="E23" s="20">
        <v>3491</v>
      </c>
      <c r="F23" s="18">
        <v>41508572</v>
      </c>
      <c r="G23" s="24">
        <v>41595</v>
      </c>
      <c r="H23" s="20">
        <v>3491</v>
      </c>
      <c r="I23" s="18">
        <v>133668525</v>
      </c>
    </row>
    <row r="24" spans="1:9" x14ac:dyDescent="0.3">
      <c r="A24" s="21">
        <v>22</v>
      </c>
      <c r="B24" s="22" t="s">
        <v>41</v>
      </c>
      <c r="C24" s="15" t="s">
        <v>32</v>
      </c>
      <c r="D24" s="23">
        <v>41481</v>
      </c>
      <c r="E24" s="20">
        <v>3924</v>
      </c>
      <c r="F24" s="18">
        <v>53113752</v>
      </c>
      <c r="G24" s="24">
        <v>41613</v>
      </c>
      <c r="H24" s="20">
        <v>3924</v>
      </c>
      <c r="I24" s="18">
        <v>132556852</v>
      </c>
    </row>
    <row r="25" spans="1:9" x14ac:dyDescent="0.3">
      <c r="A25" s="21">
        <v>23</v>
      </c>
      <c r="B25" s="22" t="s">
        <v>42</v>
      </c>
      <c r="C25" s="15" t="s">
        <v>28</v>
      </c>
      <c r="D25" s="23">
        <v>41626</v>
      </c>
      <c r="E25" s="20">
        <v>3507</v>
      </c>
      <c r="F25" s="18">
        <v>26232425</v>
      </c>
      <c r="G25" s="24">
        <v>41690</v>
      </c>
      <c r="H25" s="20">
        <v>3507</v>
      </c>
      <c r="I25" s="18">
        <v>125168368</v>
      </c>
    </row>
    <row r="26" spans="1:9" x14ac:dyDescent="0.3">
      <c r="A26" s="21">
        <v>24</v>
      </c>
      <c r="B26" s="22" t="s">
        <v>43</v>
      </c>
      <c r="C26" s="15" t="s">
        <v>19</v>
      </c>
      <c r="D26" s="23">
        <v>41633</v>
      </c>
      <c r="E26" s="20">
        <v>2</v>
      </c>
      <c r="F26" s="18">
        <v>90872</v>
      </c>
      <c r="G26" s="24">
        <v>41739</v>
      </c>
      <c r="H26" s="20">
        <v>3285</v>
      </c>
      <c r="I26" s="18">
        <v>125095601</v>
      </c>
    </row>
    <row r="27" spans="1:9" x14ac:dyDescent="0.3">
      <c r="A27" s="21">
        <v>25</v>
      </c>
      <c r="B27" s="22" t="s">
        <v>44</v>
      </c>
      <c r="C27" s="15" t="s">
        <v>28</v>
      </c>
      <c r="D27" s="23">
        <v>41361</v>
      </c>
      <c r="E27" s="20">
        <v>3719</v>
      </c>
      <c r="F27" s="18">
        <v>40501814</v>
      </c>
      <c r="G27" s="24">
        <v>41473</v>
      </c>
      <c r="H27" s="20">
        <v>3734</v>
      </c>
      <c r="I27" s="18">
        <v>122523060</v>
      </c>
    </row>
    <row r="28" spans="1:9" x14ac:dyDescent="0.3">
      <c r="A28" s="21">
        <v>26</v>
      </c>
      <c r="B28" s="22" t="s">
        <v>45</v>
      </c>
      <c r="C28" s="15" t="s">
        <v>36</v>
      </c>
      <c r="D28" s="23">
        <v>41544</v>
      </c>
      <c r="E28" s="20">
        <v>4001</v>
      </c>
      <c r="F28" s="18">
        <v>34017930</v>
      </c>
      <c r="G28" s="24">
        <v>41714</v>
      </c>
      <c r="H28" s="20">
        <v>4001</v>
      </c>
      <c r="I28" s="18">
        <v>119793567</v>
      </c>
    </row>
    <row r="29" spans="1:9" x14ac:dyDescent="0.3">
      <c r="A29" s="21">
        <v>27</v>
      </c>
      <c r="B29" s="22" t="s">
        <v>46</v>
      </c>
      <c r="C29" s="15" t="s">
        <v>47</v>
      </c>
      <c r="D29" s="23">
        <v>41425</v>
      </c>
      <c r="E29" s="20">
        <v>2925</v>
      </c>
      <c r="F29" s="18">
        <v>29350389</v>
      </c>
      <c r="G29" s="24">
        <v>41543</v>
      </c>
      <c r="H29" s="20">
        <v>3082</v>
      </c>
      <c r="I29" s="18">
        <v>117723989</v>
      </c>
    </row>
    <row r="30" spans="1:9" x14ac:dyDescent="0.3">
      <c r="A30" s="21">
        <v>28</v>
      </c>
      <c r="B30" s="22" t="s">
        <v>48</v>
      </c>
      <c r="C30" s="15" t="s">
        <v>28</v>
      </c>
      <c r="D30" s="23">
        <v>41633</v>
      </c>
      <c r="E30" s="20">
        <v>2537</v>
      </c>
      <c r="F30" s="18">
        <v>18361578</v>
      </c>
      <c r="G30" s="24">
        <v>41732</v>
      </c>
      <c r="H30" s="20">
        <v>2557</v>
      </c>
      <c r="I30" s="18">
        <v>116900694</v>
      </c>
    </row>
    <row r="31" spans="1:9" x14ac:dyDescent="0.3">
      <c r="A31" s="21">
        <v>29</v>
      </c>
      <c r="B31" s="22" t="s">
        <v>49</v>
      </c>
      <c r="C31" s="15" t="s">
        <v>50</v>
      </c>
      <c r="D31" s="23">
        <v>41502</v>
      </c>
      <c r="E31" s="20">
        <v>2933</v>
      </c>
      <c r="F31" s="18">
        <v>24637312</v>
      </c>
      <c r="G31" s="24">
        <v>41683</v>
      </c>
      <c r="H31" s="20">
        <v>3330</v>
      </c>
      <c r="I31" s="18">
        <v>116632095</v>
      </c>
    </row>
    <row r="32" spans="1:9" x14ac:dyDescent="0.3">
      <c r="A32" s="21">
        <v>30</v>
      </c>
      <c r="B32" s="22" t="s">
        <v>51</v>
      </c>
      <c r="C32" s="15" t="s">
        <v>21</v>
      </c>
      <c r="D32" s="23">
        <v>41417</v>
      </c>
      <c r="E32" s="20">
        <v>3555</v>
      </c>
      <c r="F32" s="18">
        <v>41671198</v>
      </c>
      <c r="G32" s="24">
        <v>41501</v>
      </c>
      <c r="H32" s="20">
        <v>3565</v>
      </c>
      <c r="I32" s="18">
        <v>112200072</v>
      </c>
    </row>
    <row r="33" spans="1:9" x14ac:dyDescent="0.3">
      <c r="A33" s="21">
        <v>31</v>
      </c>
      <c r="B33" s="22" t="s">
        <v>52</v>
      </c>
      <c r="C33" s="15" t="s">
        <v>32</v>
      </c>
      <c r="D33" s="23">
        <v>41418</v>
      </c>
      <c r="E33" s="20">
        <v>3882</v>
      </c>
      <c r="F33" s="18">
        <v>33531068</v>
      </c>
      <c r="G33" s="24">
        <v>41536</v>
      </c>
      <c r="H33" s="20">
        <v>3894</v>
      </c>
      <c r="I33" s="18">
        <v>107518682</v>
      </c>
    </row>
    <row r="34" spans="1:9" x14ac:dyDescent="0.3">
      <c r="A34" s="21">
        <v>32</v>
      </c>
      <c r="B34" s="22" t="s">
        <v>53</v>
      </c>
      <c r="C34" s="15" t="s">
        <v>36</v>
      </c>
      <c r="D34" s="23">
        <v>41558</v>
      </c>
      <c r="E34" s="20">
        <v>3020</v>
      </c>
      <c r="F34" s="18">
        <v>25718314</v>
      </c>
      <c r="G34" s="24">
        <v>41700</v>
      </c>
      <c r="H34" s="20">
        <v>3143</v>
      </c>
      <c r="I34" s="18">
        <v>107100855</v>
      </c>
    </row>
    <row r="35" spans="1:9" x14ac:dyDescent="0.3">
      <c r="A35" s="21">
        <v>33</v>
      </c>
      <c r="B35" s="22" t="s">
        <v>54</v>
      </c>
      <c r="C35" s="15" t="s">
        <v>28</v>
      </c>
      <c r="D35" s="23">
        <v>41572</v>
      </c>
      <c r="E35" s="20">
        <v>3336</v>
      </c>
      <c r="F35" s="18">
        <v>32055177</v>
      </c>
      <c r="G35" s="24">
        <v>41662</v>
      </c>
      <c r="H35" s="20">
        <v>3345</v>
      </c>
      <c r="I35" s="18">
        <v>102003019</v>
      </c>
    </row>
    <row r="36" spans="1:9" x14ac:dyDescent="0.3">
      <c r="A36" s="21">
        <v>34</v>
      </c>
      <c r="B36" s="22" t="s">
        <v>55</v>
      </c>
      <c r="C36" s="15" t="s">
        <v>21</v>
      </c>
      <c r="D36" s="23">
        <v>41467</v>
      </c>
      <c r="E36" s="20">
        <v>3275</v>
      </c>
      <c r="F36" s="18">
        <v>37285325</v>
      </c>
      <c r="G36" s="24">
        <v>41564</v>
      </c>
      <c r="H36" s="20">
        <v>3285</v>
      </c>
      <c r="I36" s="18">
        <v>101802906</v>
      </c>
    </row>
    <row r="37" spans="1:9" x14ac:dyDescent="0.3">
      <c r="A37" s="21">
        <v>35</v>
      </c>
      <c r="B37" s="22" t="s">
        <v>56</v>
      </c>
      <c r="C37" s="15" t="s">
        <v>36</v>
      </c>
      <c r="D37" s="23">
        <v>41437</v>
      </c>
      <c r="E37" s="20">
        <v>3055</v>
      </c>
      <c r="F37" s="18">
        <v>20719162</v>
      </c>
      <c r="G37" s="24">
        <v>41553</v>
      </c>
      <c r="H37" s="20">
        <v>3055</v>
      </c>
      <c r="I37" s="18">
        <v>101470202</v>
      </c>
    </row>
    <row r="38" spans="1:9" x14ac:dyDescent="0.3">
      <c r="A38" s="21">
        <v>36</v>
      </c>
      <c r="B38" s="22" t="s">
        <v>57</v>
      </c>
      <c r="C38" s="15" t="s">
        <v>58</v>
      </c>
      <c r="D38" s="23">
        <v>41355</v>
      </c>
      <c r="E38" s="20">
        <v>3098</v>
      </c>
      <c r="F38" s="18">
        <v>30373794</v>
      </c>
      <c r="G38" s="24">
        <v>41466</v>
      </c>
      <c r="H38" s="20">
        <v>3106</v>
      </c>
      <c r="I38" s="18">
        <v>98925640</v>
      </c>
    </row>
    <row r="39" spans="1:9" x14ac:dyDescent="0.3">
      <c r="A39" s="21">
        <v>37</v>
      </c>
      <c r="B39" s="22">
        <v>42</v>
      </c>
      <c r="C39" s="15" t="s">
        <v>21</v>
      </c>
      <c r="D39" s="23">
        <v>41376</v>
      </c>
      <c r="E39" s="20">
        <v>3003</v>
      </c>
      <c r="F39" s="18">
        <v>27487144</v>
      </c>
      <c r="G39" s="24">
        <v>41480</v>
      </c>
      <c r="H39" s="20">
        <v>3405</v>
      </c>
      <c r="I39" s="18">
        <v>95020213</v>
      </c>
    </row>
    <row r="40" spans="1:9" x14ac:dyDescent="0.3">
      <c r="A40" s="21">
        <v>38</v>
      </c>
      <c r="B40" s="22" t="s">
        <v>59</v>
      </c>
      <c r="C40" s="15" t="s">
        <v>60</v>
      </c>
      <c r="D40" s="23">
        <v>41495</v>
      </c>
      <c r="E40" s="20">
        <v>3284</v>
      </c>
      <c r="F40" s="18">
        <v>29807393</v>
      </c>
      <c r="G40" s="24">
        <v>41602</v>
      </c>
      <c r="H40" s="20">
        <v>3284</v>
      </c>
      <c r="I40" s="18">
        <v>93050117</v>
      </c>
    </row>
    <row r="41" spans="1:9" x14ac:dyDescent="0.3">
      <c r="A41" s="21">
        <v>39</v>
      </c>
      <c r="B41" s="22" t="s">
        <v>61</v>
      </c>
      <c r="C41" s="15" t="s">
        <v>16</v>
      </c>
      <c r="D41" s="23">
        <v>41495</v>
      </c>
      <c r="E41" s="20">
        <v>3702</v>
      </c>
      <c r="F41" s="18">
        <v>22232291</v>
      </c>
      <c r="G41" s="24">
        <v>41627</v>
      </c>
      <c r="H41" s="20">
        <v>3716</v>
      </c>
      <c r="I41" s="18">
        <v>90288712</v>
      </c>
    </row>
    <row r="42" spans="1:9" x14ac:dyDescent="0.3">
      <c r="A42" s="21">
        <v>40</v>
      </c>
      <c r="B42" s="22" t="s">
        <v>62</v>
      </c>
      <c r="C42" s="15" t="s">
        <v>16</v>
      </c>
      <c r="D42" s="23">
        <v>41458</v>
      </c>
      <c r="E42" s="20">
        <v>3904</v>
      </c>
      <c r="F42" s="18">
        <v>29210849</v>
      </c>
      <c r="G42" s="24">
        <v>41557</v>
      </c>
      <c r="H42" s="20">
        <v>3904</v>
      </c>
      <c r="I42" s="18">
        <v>89302115</v>
      </c>
    </row>
    <row r="43" spans="1:9" x14ac:dyDescent="0.3">
      <c r="A43" s="21">
        <v>41</v>
      </c>
      <c r="B43" s="22" t="s">
        <v>63</v>
      </c>
      <c r="C43" s="15" t="s">
        <v>19</v>
      </c>
      <c r="D43" s="23">
        <v>41383</v>
      </c>
      <c r="E43" s="20">
        <v>3783</v>
      </c>
      <c r="F43" s="18">
        <v>37054485</v>
      </c>
      <c r="G43" s="24">
        <v>41452</v>
      </c>
      <c r="H43" s="20">
        <v>3792</v>
      </c>
      <c r="I43" s="18">
        <v>89107235</v>
      </c>
    </row>
    <row r="44" spans="1:9" x14ac:dyDescent="0.3">
      <c r="A44" s="21">
        <v>42</v>
      </c>
      <c r="B44" s="22" t="s">
        <v>64</v>
      </c>
      <c r="C44" s="15" t="s">
        <v>58</v>
      </c>
      <c r="D44" s="23">
        <v>41530</v>
      </c>
      <c r="E44" s="20">
        <v>3049</v>
      </c>
      <c r="F44" s="18">
        <v>40272103</v>
      </c>
      <c r="G44" s="24">
        <v>41627</v>
      </c>
      <c r="H44" s="20">
        <v>3155</v>
      </c>
      <c r="I44" s="18">
        <v>83586447</v>
      </c>
    </row>
    <row r="45" spans="1:9" x14ac:dyDescent="0.3">
      <c r="A45" s="21">
        <v>43</v>
      </c>
      <c r="B45" s="22" t="s">
        <v>65</v>
      </c>
      <c r="C45" s="15" t="s">
        <v>16</v>
      </c>
      <c r="D45" s="23">
        <v>41621</v>
      </c>
      <c r="E45" s="20">
        <v>15</v>
      </c>
      <c r="F45" s="18">
        <v>413373</v>
      </c>
      <c r="G45" s="24">
        <v>41746</v>
      </c>
      <c r="H45" s="20">
        <v>2671</v>
      </c>
      <c r="I45" s="18">
        <v>83301580</v>
      </c>
    </row>
    <row r="46" spans="1:9" x14ac:dyDescent="0.3">
      <c r="A46" s="21">
        <v>44</v>
      </c>
      <c r="B46" s="22" t="s">
        <v>66</v>
      </c>
      <c r="C46" s="15" t="s">
        <v>32</v>
      </c>
      <c r="D46" s="23">
        <v>41472</v>
      </c>
      <c r="E46" s="20">
        <v>3806</v>
      </c>
      <c r="F46" s="18">
        <v>21312625</v>
      </c>
      <c r="G46" s="24">
        <v>41620</v>
      </c>
      <c r="H46" s="20">
        <v>3809</v>
      </c>
      <c r="I46" s="18">
        <v>83028128</v>
      </c>
    </row>
    <row r="47" spans="1:9" x14ac:dyDescent="0.3">
      <c r="A47" s="21">
        <v>45</v>
      </c>
      <c r="B47" s="22" t="s">
        <v>67</v>
      </c>
      <c r="C47" s="15" t="s">
        <v>19</v>
      </c>
      <c r="D47" s="23">
        <v>41488</v>
      </c>
      <c r="E47" s="20">
        <v>3025</v>
      </c>
      <c r="F47" s="18">
        <v>27059130</v>
      </c>
      <c r="G47" s="24">
        <v>41571</v>
      </c>
      <c r="H47" s="20">
        <v>3028</v>
      </c>
      <c r="I47" s="18">
        <v>75612460</v>
      </c>
    </row>
    <row r="48" spans="1:9" x14ac:dyDescent="0.3">
      <c r="A48" s="21">
        <v>46</v>
      </c>
      <c r="B48" s="22" t="s">
        <v>68</v>
      </c>
      <c r="C48" s="15" t="s">
        <v>36</v>
      </c>
      <c r="D48" s="23">
        <v>41453</v>
      </c>
      <c r="E48" s="20">
        <v>3222</v>
      </c>
      <c r="F48" s="18">
        <v>24852258</v>
      </c>
      <c r="G48" s="24">
        <v>41532</v>
      </c>
      <c r="H48" s="20">
        <v>3222</v>
      </c>
      <c r="I48" s="18">
        <v>73103784</v>
      </c>
    </row>
    <row r="49" spans="1:9" x14ac:dyDescent="0.3">
      <c r="A49" s="21">
        <v>47</v>
      </c>
      <c r="B49" s="22" t="s">
        <v>69</v>
      </c>
      <c r="C49" s="15" t="s">
        <v>19</v>
      </c>
      <c r="D49" s="23">
        <v>41292</v>
      </c>
      <c r="E49" s="20">
        <v>2647</v>
      </c>
      <c r="F49" s="18">
        <v>28402310</v>
      </c>
      <c r="G49" s="24">
        <v>41368</v>
      </c>
      <c r="H49" s="20">
        <v>2781</v>
      </c>
      <c r="I49" s="18">
        <v>71628180</v>
      </c>
    </row>
    <row r="50" spans="1:9" x14ac:dyDescent="0.3">
      <c r="A50" s="21">
        <v>48</v>
      </c>
      <c r="B50" s="22" t="s">
        <v>70</v>
      </c>
      <c r="C50" s="15" t="s">
        <v>71</v>
      </c>
      <c r="D50" s="23">
        <v>41319</v>
      </c>
      <c r="E50" s="20">
        <v>3223</v>
      </c>
      <c r="F50" s="18">
        <v>21401594</v>
      </c>
      <c r="G50" s="24">
        <v>41424</v>
      </c>
      <c r="H50" s="20">
        <v>3223</v>
      </c>
      <c r="I50" s="18">
        <v>71349120</v>
      </c>
    </row>
    <row r="51" spans="1:9" x14ac:dyDescent="0.3">
      <c r="A51" s="21">
        <v>49</v>
      </c>
      <c r="B51" s="22" t="s">
        <v>72</v>
      </c>
      <c r="C51" s="15" t="s">
        <v>36</v>
      </c>
      <c r="D51" s="23">
        <v>41486</v>
      </c>
      <c r="E51" s="20">
        <v>3866</v>
      </c>
      <c r="F51" s="18">
        <v>17548389</v>
      </c>
      <c r="G51" s="24">
        <v>41595</v>
      </c>
      <c r="H51" s="20">
        <v>3867</v>
      </c>
      <c r="I51" s="18">
        <v>71017784</v>
      </c>
    </row>
    <row r="52" spans="1:9" x14ac:dyDescent="0.3">
      <c r="A52" s="21">
        <v>50</v>
      </c>
      <c r="B52" s="22" t="s">
        <v>73</v>
      </c>
      <c r="C52" s="15" t="s">
        <v>19</v>
      </c>
      <c r="D52" s="23">
        <v>41593</v>
      </c>
      <c r="E52" s="20">
        <v>2024</v>
      </c>
      <c r="F52" s="18">
        <v>30107555</v>
      </c>
      <c r="G52" s="24">
        <v>41648</v>
      </c>
      <c r="H52" s="20">
        <v>2041</v>
      </c>
      <c r="I52" s="18">
        <v>70525195</v>
      </c>
    </row>
    <row r="53" spans="1:9" x14ac:dyDescent="0.3">
      <c r="A53" s="21">
        <v>51</v>
      </c>
      <c r="B53" s="22" t="s">
        <v>74</v>
      </c>
      <c r="C53" s="15" t="s">
        <v>32</v>
      </c>
      <c r="D53" s="23">
        <v>41493</v>
      </c>
      <c r="E53" s="20">
        <v>3031</v>
      </c>
      <c r="F53" s="18">
        <v>14401054</v>
      </c>
      <c r="G53" s="24">
        <v>41669</v>
      </c>
      <c r="H53" s="20">
        <v>3080</v>
      </c>
      <c r="I53" s="18">
        <v>68559554</v>
      </c>
    </row>
    <row r="54" spans="1:9" x14ac:dyDescent="0.3">
      <c r="A54" s="21">
        <v>52</v>
      </c>
      <c r="B54" s="22" t="s">
        <v>75</v>
      </c>
      <c r="C54" s="15" t="s">
        <v>32</v>
      </c>
      <c r="D54" s="23">
        <v>41319</v>
      </c>
      <c r="E54" s="20">
        <v>3553</v>
      </c>
      <c r="F54" s="18">
        <v>24834845</v>
      </c>
      <c r="G54" s="24">
        <v>41417</v>
      </c>
      <c r="H54" s="20">
        <v>3555</v>
      </c>
      <c r="I54" s="18">
        <v>67349198</v>
      </c>
    </row>
    <row r="55" spans="1:9" x14ac:dyDescent="0.3">
      <c r="A55" s="21">
        <v>53</v>
      </c>
      <c r="B55" s="22" t="s">
        <v>76</v>
      </c>
      <c r="C55" s="15" t="s">
        <v>47</v>
      </c>
      <c r="D55" s="23">
        <v>41306</v>
      </c>
      <c r="E55" s="20">
        <v>3009</v>
      </c>
      <c r="F55" s="18">
        <v>20353967</v>
      </c>
      <c r="G55" s="24">
        <v>41403</v>
      </c>
      <c r="H55" s="20">
        <v>3009</v>
      </c>
      <c r="I55" s="18">
        <v>66380662</v>
      </c>
    </row>
    <row r="56" spans="1:9" x14ac:dyDescent="0.3">
      <c r="A56" s="21">
        <v>54</v>
      </c>
      <c r="B56" s="22" t="s">
        <v>77</v>
      </c>
      <c r="C56" s="15" t="s">
        <v>78</v>
      </c>
      <c r="D56" s="23">
        <v>41334</v>
      </c>
      <c r="E56" s="20">
        <v>3525</v>
      </c>
      <c r="F56" s="18">
        <v>27202226</v>
      </c>
      <c r="G56" s="24">
        <v>41438</v>
      </c>
      <c r="H56" s="20">
        <v>3525</v>
      </c>
      <c r="I56" s="18">
        <v>65187603</v>
      </c>
    </row>
    <row r="57" spans="1:9" x14ac:dyDescent="0.3">
      <c r="A57" s="21">
        <v>55</v>
      </c>
      <c r="B57" s="22" t="s">
        <v>79</v>
      </c>
      <c r="C57" s="15" t="s">
        <v>19</v>
      </c>
      <c r="D57" s="23">
        <v>41432</v>
      </c>
      <c r="E57" s="20">
        <v>2536</v>
      </c>
      <c r="F57" s="18">
        <v>34058360</v>
      </c>
      <c r="G57" s="24">
        <v>41494</v>
      </c>
      <c r="H57" s="20">
        <v>2591</v>
      </c>
      <c r="I57" s="18">
        <v>64473115</v>
      </c>
    </row>
    <row r="58" spans="1:9" x14ac:dyDescent="0.3">
      <c r="A58" s="21">
        <v>56</v>
      </c>
      <c r="B58" s="22" t="s">
        <v>80</v>
      </c>
      <c r="C58" s="15" t="s">
        <v>81</v>
      </c>
      <c r="D58" s="23">
        <v>41579</v>
      </c>
      <c r="E58" s="20">
        <v>3065</v>
      </c>
      <c r="F58" s="18">
        <v>16334566</v>
      </c>
      <c r="G58" s="24">
        <v>41690</v>
      </c>
      <c r="H58" s="20">
        <v>3237</v>
      </c>
      <c r="I58" s="18">
        <v>63914167</v>
      </c>
    </row>
    <row r="59" spans="1:9" x14ac:dyDescent="0.3">
      <c r="A59" s="21">
        <v>57</v>
      </c>
      <c r="B59" s="22" t="s">
        <v>82</v>
      </c>
      <c r="C59" s="15" t="s">
        <v>47</v>
      </c>
      <c r="D59" s="23">
        <v>41579</v>
      </c>
      <c r="E59" s="20">
        <v>3407</v>
      </c>
      <c r="F59" s="18">
        <v>27017351</v>
      </c>
      <c r="G59" s="24">
        <v>41648</v>
      </c>
      <c r="H59" s="20">
        <v>3407</v>
      </c>
      <c r="I59" s="18">
        <v>61737191</v>
      </c>
    </row>
    <row r="60" spans="1:9" x14ac:dyDescent="0.3">
      <c r="A60" s="21">
        <v>58</v>
      </c>
      <c r="B60" s="22" t="s">
        <v>83</v>
      </c>
      <c r="C60" s="15" t="s">
        <v>21</v>
      </c>
      <c r="D60" s="23">
        <v>41537</v>
      </c>
      <c r="E60" s="20">
        <v>3260</v>
      </c>
      <c r="F60" s="18">
        <v>20817053</v>
      </c>
      <c r="G60" s="24">
        <v>41613</v>
      </c>
      <c r="H60" s="20">
        <v>3290</v>
      </c>
      <c r="I60" s="18">
        <v>61002302</v>
      </c>
    </row>
    <row r="61" spans="1:9" x14ac:dyDescent="0.3">
      <c r="A61" s="21">
        <v>59</v>
      </c>
      <c r="B61" s="22" t="s">
        <v>84</v>
      </c>
      <c r="C61" s="15" t="s">
        <v>36</v>
      </c>
      <c r="D61" s="23">
        <v>41425</v>
      </c>
      <c r="E61" s="20">
        <v>3401</v>
      </c>
      <c r="F61" s="18">
        <v>27520040</v>
      </c>
      <c r="G61" s="24">
        <v>41504</v>
      </c>
      <c r="H61" s="20">
        <v>3401</v>
      </c>
      <c r="I61" s="18">
        <v>60522097</v>
      </c>
    </row>
    <row r="62" spans="1:9" x14ac:dyDescent="0.3">
      <c r="A62" s="21">
        <v>60</v>
      </c>
      <c r="B62" s="22" t="s">
        <v>85</v>
      </c>
      <c r="C62" s="15" t="s">
        <v>32</v>
      </c>
      <c r="D62" s="23">
        <v>41633</v>
      </c>
      <c r="E62" s="20">
        <v>2909</v>
      </c>
      <c r="F62" s="18">
        <v>12765508</v>
      </c>
      <c r="G62" s="24">
        <v>41739</v>
      </c>
      <c r="H62" s="20">
        <v>2922</v>
      </c>
      <c r="I62" s="18">
        <v>58236838</v>
      </c>
    </row>
    <row r="63" spans="1:9" x14ac:dyDescent="0.3">
      <c r="A63" s="21">
        <v>61</v>
      </c>
      <c r="B63" s="22" t="s">
        <v>86</v>
      </c>
      <c r="C63" s="15" t="s">
        <v>50</v>
      </c>
      <c r="D63" s="23">
        <v>41320</v>
      </c>
      <c r="E63" s="20">
        <v>3288</v>
      </c>
      <c r="F63" s="18">
        <v>15891055</v>
      </c>
      <c r="G63" s="24">
        <v>41480</v>
      </c>
      <c r="H63" s="20">
        <v>3353</v>
      </c>
      <c r="I63" s="18">
        <v>57012977</v>
      </c>
    </row>
    <row r="64" spans="1:9" x14ac:dyDescent="0.3">
      <c r="A64" s="21">
        <v>62</v>
      </c>
      <c r="B64" s="22" t="s">
        <v>87</v>
      </c>
      <c r="C64" s="15" t="s">
        <v>88</v>
      </c>
      <c r="D64" s="23">
        <v>41565</v>
      </c>
      <c r="E64" s="20">
        <v>19</v>
      </c>
      <c r="F64" s="18">
        <v>923715</v>
      </c>
      <c r="G64" s="24">
        <v>41767</v>
      </c>
      <c r="H64" s="20">
        <v>1474</v>
      </c>
      <c r="I64" s="18">
        <v>56671993</v>
      </c>
    </row>
    <row r="65" spans="1:9" x14ac:dyDescent="0.3">
      <c r="A65" s="21">
        <v>63</v>
      </c>
      <c r="B65" s="22" t="s">
        <v>89</v>
      </c>
      <c r="C65" s="15" t="s">
        <v>71</v>
      </c>
      <c r="D65" s="23">
        <v>41579</v>
      </c>
      <c r="E65" s="20">
        <v>3736</v>
      </c>
      <c r="F65" s="18">
        <v>15805237</v>
      </c>
      <c r="G65" s="24">
        <v>41718</v>
      </c>
      <c r="H65" s="20">
        <v>3736</v>
      </c>
      <c r="I65" s="18">
        <v>55750480</v>
      </c>
    </row>
    <row r="66" spans="1:9" x14ac:dyDescent="0.3">
      <c r="A66" s="21">
        <v>64</v>
      </c>
      <c r="B66" s="22" t="s">
        <v>90</v>
      </c>
      <c r="C66" s="15" t="s">
        <v>28</v>
      </c>
      <c r="D66" s="23">
        <v>41299</v>
      </c>
      <c r="E66" s="20">
        <v>3372</v>
      </c>
      <c r="F66" s="18">
        <v>19690956</v>
      </c>
      <c r="G66" s="24">
        <v>41389</v>
      </c>
      <c r="H66" s="20">
        <v>3375</v>
      </c>
      <c r="I66" s="18">
        <v>55703475</v>
      </c>
    </row>
    <row r="67" spans="1:9" x14ac:dyDescent="0.3">
      <c r="A67" s="21">
        <v>65</v>
      </c>
      <c r="B67" s="22" t="s">
        <v>91</v>
      </c>
      <c r="C67" s="15" t="s">
        <v>60</v>
      </c>
      <c r="D67" s="23">
        <v>41369</v>
      </c>
      <c r="E67" s="20">
        <v>3025</v>
      </c>
      <c r="F67" s="18">
        <v>25775847</v>
      </c>
      <c r="G67" s="24">
        <v>41434</v>
      </c>
      <c r="H67" s="20">
        <v>3025</v>
      </c>
      <c r="I67" s="18">
        <v>54239856</v>
      </c>
    </row>
    <row r="68" spans="1:9" x14ac:dyDescent="0.3">
      <c r="A68" s="21">
        <v>66</v>
      </c>
      <c r="B68" s="22" t="s">
        <v>92</v>
      </c>
      <c r="C68" s="15" t="s">
        <v>47</v>
      </c>
      <c r="D68" s="23">
        <v>41474</v>
      </c>
      <c r="E68" s="20">
        <v>3016</v>
      </c>
      <c r="F68" s="18">
        <v>18048422</v>
      </c>
      <c r="G68" s="24">
        <v>41564</v>
      </c>
      <c r="H68" s="20">
        <v>3016</v>
      </c>
      <c r="I68" s="18">
        <v>53262560</v>
      </c>
    </row>
    <row r="69" spans="1:9" x14ac:dyDescent="0.3">
      <c r="A69" s="21">
        <v>67</v>
      </c>
      <c r="B69" s="22" t="s">
        <v>93</v>
      </c>
      <c r="C69" s="15" t="s">
        <v>14</v>
      </c>
      <c r="D69" s="23">
        <v>41621</v>
      </c>
      <c r="E69" s="20">
        <v>2194</v>
      </c>
      <c r="F69" s="18">
        <v>16007634</v>
      </c>
      <c r="G69" s="24">
        <v>41683</v>
      </c>
      <c r="H69" s="20">
        <v>2194</v>
      </c>
      <c r="I69" s="18">
        <v>52543354</v>
      </c>
    </row>
    <row r="70" spans="1:9" ht="31.2" x14ac:dyDescent="0.3">
      <c r="A70" s="21">
        <v>68</v>
      </c>
      <c r="B70" s="22" t="s">
        <v>94</v>
      </c>
      <c r="C70" s="15" t="s">
        <v>14</v>
      </c>
      <c r="D70" s="23">
        <v>41362</v>
      </c>
      <c r="E70" s="20">
        <v>2047</v>
      </c>
      <c r="F70" s="18">
        <v>21641679</v>
      </c>
      <c r="G70" s="24">
        <v>41424</v>
      </c>
      <c r="H70" s="20">
        <v>2047</v>
      </c>
      <c r="I70" s="18">
        <v>51975354</v>
      </c>
    </row>
    <row r="71" spans="1:9" x14ac:dyDescent="0.3">
      <c r="A71" s="21">
        <v>69</v>
      </c>
      <c r="B71" s="22" t="s">
        <v>95</v>
      </c>
      <c r="C71" s="15" t="s">
        <v>60</v>
      </c>
      <c r="D71" s="23">
        <v>41348</v>
      </c>
      <c r="E71" s="20">
        <v>2507</v>
      </c>
      <c r="F71" s="18">
        <v>17118745</v>
      </c>
      <c r="G71" s="24">
        <v>41434</v>
      </c>
      <c r="H71" s="20">
        <v>2507</v>
      </c>
      <c r="I71" s="18">
        <v>51872378</v>
      </c>
    </row>
    <row r="72" spans="1:9" x14ac:dyDescent="0.3">
      <c r="A72" s="21">
        <v>70</v>
      </c>
      <c r="B72" s="22" t="s">
        <v>96</v>
      </c>
      <c r="C72" s="15" t="s">
        <v>28</v>
      </c>
      <c r="D72" s="23">
        <v>41390</v>
      </c>
      <c r="E72" s="20">
        <v>3277</v>
      </c>
      <c r="F72" s="18">
        <v>20244505</v>
      </c>
      <c r="G72" s="24">
        <v>41515</v>
      </c>
      <c r="H72" s="20">
        <v>3303</v>
      </c>
      <c r="I72" s="18">
        <v>49875291</v>
      </c>
    </row>
    <row r="73" spans="1:9" x14ac:dyDescent="0.3">
      <c r="A73" s="21">
        <v>71</v>
      </c>
      <c r="B73" s="22" t="s">
        <v>97</v>
      </c>
      <c r="C73" s="15" t="s">
        <v>21</v>
      </c>
      <c r="D73" s="23">
        <v>41285</v>
      </c>
      <c r="E73" s="20">
        <v>3103</v>
      </c>
      <c r="F73" s="18">
        <v>17070347</v>
      </c>
      <c r="G73" s="24">
        <v>41368</v>
      </c>
      <c r="H73" s="20">
        <v>3103</v>
      </c>
      <c r="I73" s="18">
        <v>46000903</v>
      </c>
    </row>
    <row r="74" spans="1:9" x14ac:dyDescent="0.3">
      <c r="A74" s="21">
        <v>72</v>
      </c>
      <c r="B74" s="22" t="s">
        <v>98</v>
      </c>
      <c r="C74" s="15" t="s">
        <v>19</v>
      </c>
      <c r="D74" s="23">
        <v>41369</v>
      </c>
      <c r="E74" s="20">
        <v>2771</v>
      </c>
      <c r="F74" s="18">
        <v>18620145</v>
      </c>
      <c r="G74" s="24">
        <v>41417</v>
      </c>
      <c r="H74" s="20">
        <v>2778</v>
      </c>
      <c r="I74" s="18">
        <v>45385935</v>
      </c>
    </row>
    <row r="75" spans="1:9" x14ac:dyDescent="0.3">
      <c r="A75" s="21">
        <v>73</v>
      </c>
      <c r="B75" s="22" t="s">
        <v>99</v>
      </c>
      <c r="C75" s="15" t="s">
        <v>32</v>
      </c>
      <c r="D75" s="23">
        <v>41432</v>
      </c>
      <c r="E75" s="20">
        <v>3366</v>
      </c>
      <c r="F75" s="18">
        <v>17325307</v>
      </c>
      <c r="G75" s="24">
        <v>41529</v>
      </c>
      <c r="H75" s="20">
        <v>3399</v>
      </c>
      <c r="I75" s="18">
        <v>44672764</v>
      </c>
    </row>
    <row r="76" spans="1:9" x14ac:dyDescent="0.3">
      <c r="A76" s="21">
        <v>74</v>
      </c>
      <c r="B76" s="22" t="s">
        <v>100</v>
      </c>
      <c r="C76" s="15" t="s">
        <v>14</v>
      </c>
      <c r="D76" s="23">
        <v>41516</v>
      </c>
      <c r="E76" s="20">
        <v>348</v>
      </c>
      <c r="F76" s="18">
        <v>7846426</v>
      </c>
      <c r="G76" s="24">
        <v>41620</v>
      </c>
      <c r="H76" s="20">
        <v>978</v>
      </c>
      <c r="I76" s="18">
        <v>44467206</v>
      </c>
    </row>
    <row r="77" spans="1:9" x14ac:dyDescent="0.3">
      <c r="A77" s="21">
        <v>75</v>
      </c>
      <c r="B77" s="22" t="s">
        <v>101</v>
      </c>
      <c r="C77" s="15" t="s">
        <v>47</v>
      </c>
      <c r="D77" s="23">
        <v>41327</v>
      </c>
      <c r="E77" s="20">
        <v>2511</v>
      </c>
      <c r="F77" s="18">
        <v>13167607</v>
      </c>
      <c r="G77" s="24">
        <v>41424</v>
      </c>
      <c r="H77" s="20">
        <v>2511</v>
      </c>
      <c r="I77" s="18">
        <v>42930462</v>
      </c>
    </row>
    <row r="78" spans="1:9" x14ac:dyDescent="0.3">
      <c r="A78" s="21">
        <v>76</v>
      </c>
      <c r="B78" s="22" t="s">
        <v>102</v>
      </c>
      <c r="C78" s="15" t="s">
        <v>19</v>
      </c>
      <c r="D78" s="23">
        <v>41523</v>
      </c>
      <c r="E78" s="20">
        <v>3107</v>
      </c>
      <c r="F78" s="18">
        <v>19030375</v>
      </c>
      <c r="G78" s="24">
        <v>41578</v>
      </c>
      <c r="H78" s="20">
        <v>3117</v>
      </c>
      <c r="I78" s="18">
        <v>42025135</v>
      </c>
    </row>
    <row r="79" spans="1:9" x14ac:dyDescent="0.3">
      <c r="A79" s="21">
        <v>77</v>
      </c>
      <c r="B79" s="22" t="s">
        <v>103</v>
      </c>
      <c r="C79" s="15" t="s">
        <v>104</v>
      </c>
      <c r="D79" s="23">
        <v>41285</v>
      </c>
      <c r="E79" s="20">
        <v>2160</v>
      </c>
      <c r="F79" s="18">
        <v>18101682</v>
      </c>
      <c r="G79" s="24">
        <v>41336</v>
      </c>
      <c r="H79" s="20">
        <v>2160</v>
      </c>
      <c r="I79" s="18">
        <v>40041683</v>
      </c>
    </row>
    <row r="80" spans="1:9" x14ac:dyDescent="0.3">
      <c r="A80" s="21">
        <v>78</v>
      </c>
      <c r="B80" s="22" t="s">
        <v>105</v>
      </c>
      <c r="C80" s="15" t="s">
        <v>19</v>
      </c>
      <c r="D80" s="23">
        <v>41633</v>
      </c>
      <c r="E80" s="20">
        <v>2689</v>
      </c>
      <c r="F80" s="18">
        <v>9910310</v>
      </c>
      <c r="G80" s="24">
        <v>41676</v>
      </c>
      <c r="H80" s="20">
        <v>2690</v>
      </c>
      <c r="I80" s="18">
        <v>38362475</v>
      </c>
    </row>
    <row r="81" spans="1:9" x14ac:dyDescent="0.3">
      <c r="A81" s="21">
        <v>79</v>
      </c>
      <c r="B81" s="22" t="s">
        <v>106</v>
      </c>
      <c r="C81" s="15" t="s">
        <v>50</v>
      </c>
      <c r="D81" s="23">
        <v>41635</v>
      </c>
      <c r="E81" s="20">
        <v>5</v>
      </c>
      <c r="F81" s="18">
        <v>179302</v>
      </c>
      <c r="G81" s="24">
        <v>41767</v>
      </c>
      <c r="H81" s="20">
        <v>2411</v>
      </c>
      <c r="I81" s="18">
        <v>37738810</v>
      </c>
    </row>
    <row r="82" spans="1:9" x14ac:dyDescent="0.3">
      <c r="A82" s="21">
        <v>80</v>
      </c>
      <c r="B82" s="22" t="s">
        <v>107</v>
      </c>
      <c r="C82" s="15" t="s">
        <v>50</v>
      </c>
      <c r="D82" s="23">
        <v>41600</v>
      </c>
      <c r="E82" s="20">
        <v>4</v>
      </c>
      <c r="F82" s="18">
        <v>128435</v>
      </c>
      <c r="G82" s="24">
        <v>41781</v>
      </c>
      <c r="H82" s="20">
        <v>1225</v>
      </c>
      <c r="I82" s="18">
        <v>37709979</v>
      </c>
    </row>
    <row r="83" spans="1:9" x14ac:dyDescent="0.3">
      <c r="A83" s="21">
        <v>81</v>
      </c>
      <c r="B83" s="22" t="s">
        <v>108</v>
      </c>
      <c r="C83" s="15" t="s">
        <v>71</v>
      </c>
      <c r="D83" s="23">
        <v>41530</v>
      </c>
      <c r="E83" s="20">
        <v>3091</v>
      </c>
      <c r="F83" s="18">
        <v>14034764</v>
      </c>
      <c r="G83" s="24">
        <v>41648</v>
      </c>
      <c r="H83" s="20">
        <v>3091</v>
      </c>
      <c r="I83" s="18">
        <v>36918811</v>
      </c>
    </row>
    <row r="84" spans="1:9" x14ac:dyDescent="0.3">
      <c r="A84" s="21">
        <v>82</v>
      </c>
      <c r="B84" s="22" t="s">
        <v>109</v>
      </c>
      <c r="C84" s="15" t="s">
        <v>32</v>
      </c>
      <c r="D84" s="23">
        <v>41628</v>
      </c>
      <c r="E84" s="20">
        <v>3231</v>
      </c>
      <c r="F84" s="18">
        <v>7091938</v>
      </c>
      <c r="G84" s="24">
        <v>41739</v>
      </c>
      <c r="H84" s="20">
        <v>3243</v>
      </c>
      <c r="I84" s="18">
        <v>36076121</v>
      </c>
    </row>
    <row r="85" spans="1:9" x14ac:dyDescent="0.3">
      <c r="A85" s="21">
        <v>83</v>
      </c>
      <c r="B85" s="22" t="s">
        <v>110</v>
      </c>
      <c r="C85" s="15" t="s">
        <v>111</v>
      </c>
      <c r="D85" s="23">
        <v>41565</v>
      </c>
      <c r="E85" s="20">
        <v>3157</v>
      </c>
      <c r="F85" s="18">
        <v>16101552</v>
      </c>
      <c r="G85" s="24">
        <v>41602</v>
      </c>
      <c r="H85" s="20">
        <v>3157</v>
      </c>
      <c r="I85" s="18">
        <v>35266619</v>
      </c>
    </row>
    <row r="86" spans="1:9" x14ac:dyDescent="0.3">
      <c r="A86" s="21">
        <v>84</v>
      </c>
      <c r="B86" s="22" t="s">
        <v>112</v>
      </c>
      <c r="C86" s="15" t="s">
        <v>14</v>
      </c>
      <c r="D86" s="23">
        <v>41278</v>
      </c>
      <c r="E86" s="20">
        <v>2654</v>
      </c>
      <c r="F86" s="18">
        <v>21744470</v>
      </c>
      <c r="G86" s="24">
        <v>41333</v>
      </c>
      <c r="H86" s="20">
        <v>2659</v>
      </c>
      <c r="I86" s="18">
        <v>34341945</v>
      </c>
    </row>
    <row r="87" spans="1:9" x14ac:dyDescent="0.3">
      <c r="A87" s="21">
        <v>85</v>
      </c>
      <c r="B87" s="22" t="s">
        <v>113</v>
      </c>
      <c r="C87" s="15" t="s">
        <v>19</v>
      </c>
      <c r="D87" s="23">
        <v>41474</v>
      </c>
      <c r="E87" s="20">
        <v>2852</v>
      </c>
      <c r="F87" s="18">
        <v>12691415</v>
      </c>
      <c r="G87" s="24">
        <v>41543</v>
      </c>
      <c r="H87" s="20">
        <v>2852</v>
      </c>
      <c r="I87" s="18">
        <v>33618855</v>
      </c>
    </row>
    <row r="88" spans="1:9" x14ac:dyDescent="0.3">
      <c r="A88" s="21">
        <v>86</v>
      </c>
      <c r="B88" s="22" t="s">
        <v>114</v>
      </c>
      <c r="C88" s="15" t="s">
        <v>115</v>
      </c>
      <c r="D88" s="23">
        <v>41481</v>
      </c>
      <c r="E88" s="20">
        <v>6</v>
      </c>
      <c r="F88" s="18">
        <v>612064</v>
      </c>
      <c r="G88" s="24">
        <v>41732</v>
      </c>
      <c r="H88" s="20">
        <v>1283</v>
      </c>
      <c r="I88" s="18">
        <v>33405481</v>
      </c>
    </row>
    <row r="89" spans="1:9" x14ac:dyDescent="0.3">
      <c r="A89" s="21">
        <v>87</v>
      </c>
      <c r="B89" s="22" t="s">
        <v>116</v>
      </c>
      <c r="C89" s="15" t="s">
        <v>47</v>
      </c>
      <c r="D89" s="23">
        <v>41458</v>
      </c>
      <c r="E89" s="20">
        <v>876</v>
      </c>
      <c r="F89" s="18">
        <v>10030463</v>
      </c>
      <c r="G89" s="24">
        <v>41508</v>
      </c>
      <c r="H89" s="20">
        <v>892</v>
      </c>
      <c r="I89" s="18">
        <v>32244051</v>
      </c>
    </row>
    <row r="90" spans="1:9" x14ac:dyDescent="0.3">
      <c r="A90" s="21">
        <v>88</v>
      </c>
      <c r="B90" s="22" t="s">
        <v>117</v>
      </c>
      <c r="C90" s="15" t="s">
        <v>104</v>
      </c>
      <c r="D90" s="23">
        <v>41313</v>
      </c>
      <c r="E90" s="20">
        <v>2605</v>
      </c>
      <c r="F90" s="18">
        <v>9303145</v>
      </c>
      <c r="G90" s="24">
        <v>41410</v>
      </c>
      <c r="H90" s="20">
        <v>2605</v>
      </c>
      <c r="I90" s="18">
        <v>32172757</v>
      </c>
    </row>
    <row r="91" spans="1:9" x14ac:dyDescent="0.3">
      <c r="A91" s="21">
        <v>89</v>
      </c>
      <c r="B91" s="22" t="s">
        <v>118</v>
      </c>
      <c r="C91" s="15" t="s">
        <v>119</v>
      </c>
      <c r="D91" s="23">
        <v>41376</v>
      </c>
      <c r="E91" s="20">
        <v>3402</v>
      </c>
      <c r="F91" s="18">
        <v>14157367</v>
      </c>
      <c r="G91" s="24">
        <v>41480</v>
      </c>
      <c r="H91" s="20">
        <v>3402</v>
      </c>
      <c r="I91" s="18">
        <v>32015787</v>
      </c>
    </row>
    <row r="92" spans="1:9" x14ac:dyDescent="0.3">
      <c r="A92" s="21">
        <v>90</v>
      </c>
      <c r="B92" s="22" t="s">
        <v>120</v>
      </c>
      <c r="C92" s="15" t="s">
        <v>111</v>
      </c>
      <c r="D92" s="23">
        <v>41507</v>
      </c>
      <c r="E92" s="20">
        <v>3118</v>
      </c>
      <c r="F92" s="18">
        <v>9336957</v>
      </c>
      <c r="G92" s="24">
        <v>41553</v>
      </c>
      <c r="H92" s="20">
        <v>3118</v>
      </c>
      <c r="I92" s="18">
        <v>31165421</v>
      </c>
    </row>
    <row r="93" spans="1:9" x14ac:dyDescent="0.3">
      <c r="A93" s="21">
        <v>91</v>
      </c>
      <c r="B93" s="22" t="s">
        <v>121</v>
      </c>
      <c r="C93" s="15" t="s">
        <v>16</v>
      </c>
      <c r="D93" s="23">
        <v>41600</v>
      </c>
      <c r="E93" s="20">
        <v>3036</v>
      </c>
      <c r="F93" s="18">
        <v>7944977</v>
      </c>
      <c r="G93" s="24">
        <v>41718</v>
      </c>
      <c r="H93" s="20">
        <v>3036</v>
      </c>
      <c r="I93" s="18">
        <v>30664106</v>
      </c>
    </row>
    <row r="94" spans="1:9" x14ac:dyDescent="0.3">
      <c r="A94" s="21">
        <v>92</v>
      </c>
      <c r="B94" s="22" t="s">
        <v>122</v>
      </c>
      <c r="C94" s="15" t="s">
        <v>21</v>
      </c>
      <c r="D94" s="23">
        <v>41633</v>
      </c>
      <c r="E94" s="20">
        <v>2838</v>
      </c>
      <c r="F94" s="18">
        <v>7021993</v>
      </c>
      <c r="G94" s="24">
        <v>41711</v>
      </c>
      <c r="H94" s="20">
        <v>2856</v>
      </c>
      <c r="I94" s="18">
        <v>29807260</v>
      </c>
    </row>
    <row r="95" spans="1:9" x14ac:dyDescent="0.3">
      <c r="A95" s="21">
        <v>93</v>
      </c>
      <c r="B95" s="22" t="s">
        <v>123</v>
      </c>
      <c r="C95" s="15" t="s">
        <v>60</v>
      </c>
      <c r="D95" s="23">
        <v>41516</v>
      </c>
      <c r="E95" s="20">
        <v>2735</v>
      </c>
      <c r="F95" s="18">
        <v>15815497</v>
      </c>
      <c r="G95" s="24">
        <v>41553</v>
      </c>
      <c r="H95" s="20">
        <v>2735</v>
      </c>
      <c r="I95" s="18">
        <v>28873374</v>
      </c>
    </row>
    <row r="96" spans="1:9" x14ac:dyDescent="0.3">
      <c r="A96" s="21">
        <v>94</v>
      </c>
      <c r="B96" s="22" t="s">
        <v>124</v>
      </c>
      <c r="C96" s="15" t="s">
        <v>19</v>
      </c>
      <c r="D96" s="23">
        <v>41502</v>
      </c>
      <c r="E96" s="20">
        <v>2940</v>
      </c>
      <c r="F96" s="18">
        <v>13332955</v>
      </c>
      <c r="G96" s="24">
        <v>41543</v>
      </c>
      <c r="H96" s="20">
        <v>2945</v>
      </c>
      <c r="I96" s="18">
        <v>28795985</v>
      </c>
    </row>
    <row r="97" spans="1:9" x14ac:dyDescent="0.3">
      <c r="A97" s="21">
        <v>95</v>
      </c>
      <c r="B97" s="22" t="s">
        <v>125</v>
      </c>
      <c r="C97" s="15" t="s">
        <v>126</v>
      </c>
      <c r="D97" s="23">
        <v>41579</v>
      </c>
      <c r="E97" s="20">
        <v>9</v>
      </c>
      <c r="F97" s="18">
        <v>260865</v>
      </c>
      <c r="G97" s="24">
        <v>41760</v>
      </c>
      <c r="H97" s="20">
        <v>1110</v>
      </c>
      <c r="I97" s="18">
        <v>27298285</v>
      </c>
    </row>
    <row r="98" spans="1:9" x14ac:dyDescent="0.3">
      <c r="A98" s="21">
        <v>96</v>
      </c>
      <c r="B98" s="22" t="s">
        <v>127</v>
      </c>
      <c r="C98" s="15" t="s">
        <v>19</v>
      </c>
      <c r="D98" s="23">
        <v>41537</v>
      </c>
      <c r="E98" s="20">
        <v>5</v>
      </c>
      <c r="F98" s="18">
        <v>187289</v>
      </c>
      <c r="G98" s="24">
        <v>41599</v>
      </c>
      <c r="H98" s="20">
        <v>2308</v>
      </c>
      <c r="I98" s="18">
        <v>26947624</v>
      </c>
    </row>
    <row r="99" spans="1:9" x14ac:dyDescent="0.3">
      <c r="A99" s="21">
        <v>97</v>
      </c>
      <c r="B99" s="22" t="s">
        <v>128</v>
      </c>
      <c r="C99" s="15" t="s">
        <v>104</v>
      </c>
      <c r="D99" s="23">
        <v>41362</v>
      </c>
      <c r="E99" s="20">
        <v>3202</v>
      </c>
      <c r="F99" s="18">
        <v>10600112</v>
      </c>
      <c r="G99" s="24">
        <v>41424</v>
      </c>
      <c r="H99" s="20">
        <v>3202</v>
      </c>
      <c r="I99" s="18">
        <v>26627201</v>
      </c>
    </row>
    <row r="100" spans="1:9" x14ac:dyDescent="0.3">
      <c r="A100" s="21">
        <v>98</v>
      </c>
      <c r="B100" s="22" t="s">
        <v>129</v>
      </c>
      <c r="C100" s="15" t="s">
        <v>126</v>
      </c>
      <c r="D100" s="23">
        <v>41509</v>
      </c>
      <c r="E100" s="20">
        <v>1551</v>
      </c>
      <c r="F100" s="18">
        <v>8811790</v>
      </c>
      <c r="G100" s="24">
        <v>41613</v>
      </c>
      <c r="H100" s="20">
        <v>1553</v>
      </c>
      <c r="I100" s="18">
        <v>26004851</v>
      </c>
    </row>
    <row r="101" spans="1:9" x14ac:dyDescent="0.3">
      <c r="A101" s="21">
        <v>99</v>
      </c>
      <c r="B101" s="22" t="s">
        <v>130</v>
      </c>
      <c r="C101" s="15" t="s">
        <v>71</v>
      </c>
      <c r="D101" s="23">
        <v>41334</v>
      </c>
      <c r="E101" s="20">
        <v>2771</v>
      </c>
      <c r="F101" s="18">
        <v>8754168</v>
      </c>
      <c r="G101" s="24">
        <v>41410</v>
      </c>
      <c r="H101" s="20">
        <v>2771</v>
      </c>
      <c r="I101" s="18">
        <v>25682380</v>
      </c>
    </row>
    <row r="102" spans="1:9" x14ac:dyDescent="0.3">
      <c r="A102" s="21">
        <v>100</v>
      </c>
      <c r="B102" s="22" t="s">
        <v>131</v>
      </c>
      <c r="C102" s="15" t="s">
        <v>21</v>
      </c>
      <c r="D102" s="23">
        <v>41626</v>
      </c>
      <c r="E102" s="20">
        <v>6</v>
      </c>
      <c r="F102" s="18">
        <v>260382</v>
      </c>
      <c r="G102" s="24">
        <v>41746</v>
      </c>
      <c r="H102" s="20">
        <v>1729</v>
      </c>
      <c r="I102" s="18">
        <v>25568251</v>
      </c>
    </row>
  </sheetData>
  <mergeCells count="1">
    <mergeCell ref="A1:I1"/>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L102"/>
  <sheetViews>
    <sheetView workbookViewId="0">
      <selection sqref="A1:I1"/>
    </sheetView>
  </sheetViews>
  <sheetFormatPr defaultRowHeight="15.6" x14ac:dyDescent="0.3"/>
  <cols>
    <col min="1" max="1" width="11.296875"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v>
      </c>
    </row>
    <row r="2" spans="1:12" ht="31.2" x14ac:dyDescent="0.3">
      <c r="A2" s="15" t="s">
        <v>186</v>
      </c>
      <c r="B2" s="15" t="s">
        <v>187</v>
      </c>
      <c r="C2" s="1" t="s">
        <v>6</v>
      </c>
      <c r="D2" s="1" t="s">
        <v>7</v>
      </c>
      <c r="E2" s="2" t="s">
        <v>8</v>
      </c>
      <c r="F2" s="2" t="s">
        <v>9</v>
      </c>
      <c r="G2" s="1" t="s">
        <v>10</v>
      </c>
      <c r="H2" s="2" t="s">
        <v>11</v>
      </c>
      <c r="I2" s="2" t="s">
        <v>12</v>
      </c>
      <c r="K2" s="11">
        <v>1</v>
      </c>
      <c r="L2" s="12" t="s">
        <v>184</v>
      </c>
    </row>
    <row r="3" spans="1:12" x14ac:dyDescent="0.3">
      <c r="A3" s="3">
        <v>1</v>
      </c>
      <c r="B3" s="4" t="s">
        <v>13</v>
      </c>
      <c r="C3" s="5" t="s">
        <v>14</v>
      </c>
      <c r="D3" s="6">
        <v>41600</v>
      </c>
      <c r="E3" s="7">
        <v>4163</v>
      </c>
      <c r="F3" s="8">
        <v>158074286</v>
      </c>
      <c r="G3" s="9">
        <v>41732</v>
      </c>
      <c r="H3" s="7">
        <v>4163</v>
      </c>
      <c r="I3" s="8">
        <v>424668047</v>
      </c>
      <c r="K3" s="11">
        <v>2</v>
      </c>
      <c r="L3" t="s">
        <v>185</v>
      </c>
    </row>
    <row r="4" spans="1:12" x14ac:dyDescent="0.3">
      <c r="A4" s="3">
        <v>2</v>
      </c>
      <c r="B4" s="4"/>
      <c r="C4" s="5" t="s">
        <v>16</v>
      </c>
      <c r="D4" s="6">
        <v>41397</v>
      </c>
      <c r="E4" s="7">
        <v>4253</v>
      </c>
      <c r="F4" s="8">
        <v>174144585</v>
      </c>
      <c r="G4" s="9">
        <v>41529</v>
      </c>
      <c r="H4" s="7">
        <v>4253</v>
      </c>
      <c r="I4" s="8">
        <v>409013994</v>
      </c>
      <c r="K4" s="11"/>
    </row>
    <row r="5" spans="1:12" x14ac:dyDescent="0.3">
      <c r="A5" s="3">
        <v>3</v>
      </c>
      <c r="B5" s="4" t="s">
        <v>17</v>
      </c>
      <c r="C5" s="5" t="s">
        <v>16</v>
      </c>
      <c r="D5" s="6">
        <v>41600</v>
      </c>
      <c r="E5" s="7">
        <v>1</v>
      </c>
      <c r="F5" s="8">
        <v>243390</v>
      </c>
      <c r="G5" s="9">
        <v>41837</v>
      </c>
      <c r="H5" s="7">
        <v>3742</v>
      </c>
      <c r="I5" s="8">
        <v>400738009</v>
      </c>
      <c r="K5" s="11"/>
    </row>
    <row r="6" spans="1:12" x14ac:dyDescent="0.3">
      <c r="A6" s="3">
        <v>4</v>
      </c>
      <c r="B6" s="4" t="s">
        <v>18</v>
      </c>
      <c r="C6" s="5" t="s">
        <v>19</v>
      </c>
      <c r="D6" s="6">
        <v>41458</v>
      </c>
      <c r="E6" s="7">
        <v>3997</v>
      </c>
      <c r="F6" s="8">
        <v>83517315</v>
      </c>
      <c r="G6" s="9">
        <v>41655</v>
      </c>
      <c r="H6" s="7">
        <v>4003</v>
      </c>
      <c r="I6" s="8">
        <v>368061265</v>
      </c>
      <c r="K6" s="11"/>
    </row>
    <row r="7" spans="1:12" x14ac:dyDescent="0.3">
      <c r="A7" s="3">
        <v>5</v>
      </c>
      <c r="B7" s="4" t="s">
        <v>20</v>
      </c>
      <c r="C7" s="5" t="s">
        <v>21</v>
      </c>
      <c r="D7" s="6">
        <v>41439</v>
      </c>
      <c r="E7" s="7">
        <v>4207</v>
      </c>
      <c r="F7" s="8">
        <v>116619362</v>
      </c>
      <c r="G7" s="9">
        <v>41536</v>
      </c>
      <c r="H7" s="7">
        <v>4207</v>
      </c>
      <c r="I7" s="8">
        <v>291045518</v>
      </c>
      <c r="K7" s="11"/>
    </row>
    <row r="8" spans="1:12" x14ac:dyDescent="0.3">
      <c r="A8" s="3">
        <v>6</v>
      </c>
      <c r="B8" s="4" t="s">
        <v>22</v>
      </c>
      <c r="C8" s="5" t="s">
        <v>21</v>
      </c>
      <c r="D8" s="6">
        <v>41551</v>
      </c>
      <c r="E8" s="7">
        <v>3575</v>
      </c>
      <c r="F8" s="8">
        <v>55785112</v>
      </c>
      <c r="G8" s="9">
        <v>41767</v>
      </c>
      <c r="H8" s="7">
        <v>3820</v>
      </c>
      <c r="I8" s="8">
        <v>274092705</v>
      </c>
      <c r="K8" s="11"/>
    </row>
    <row r="9" spans="1:12" x14ac:dyDescent="0.3">
      <c r="A9" s="3">
        <v>7</v>
      </c>
      <c r="B9" s="4" t="s">
        <v>23</v>
      </c>
      <c r="C9" s="5" t="s">
        <v>16</v>
      </c>
      <c r="D9" s="6">
        <v>41446</v>
      </c>
      <c r="E9" s="7">
        <v>4004</v>
      </c>
      <c r="F9" s="8">
        <v>82429469</v>
      </c>
      <c r="G9" s="9">
        <v>41627</v>
      </c>
      <c r="H9" s="7">
        <v>4004</v>
      </c>
      <c r="I9" s="8">
        <v>268492764</v>
      </c>
      <c r="K9" s="11"/>
    </row>
    <row r="10" spans="1:12" x14ac:dyDescent="0.3">
      <c r="A10" s="3">
        <v>8</v>
      </c>
      <c r="B10" s="4"/>
      <c r="C10" s="5" t="s">
        <v>21</v>
      </c>
      <c r="D10" s="6">
        <v>41621</v>
      </c>
      <c r="E10" s="7">
        <v>3903</v>
      </c>
      <c r="F10" s="8">
        <v>73645197</v>
      </c>
      <c r="G10" s="9">
        <v>41746</v>
      </c>
      <c r="H10" s="7">
        <v>3928</v>
      </c>
      <c r="I10" s="8">
        <v>258366855</v>
      </c>
      <c r="K10" s="11"/>
    </row>
    <row r="11" spans="1:12" x14ac:dyDescent="0.3">
      <c r="A11" s="3">
        <v>9</v>
      </c>
      <c r="B11" s="4" t="s">
        <v>25</v>
      </c>
      <c r="C11" s="5" t="s">
        <v>19</v>
      </c>
      <c r="D11" s="6">
        <v>41418</v>
      </c>
      <c r="E11" s="7">
        <v>3658</v>
      </c>
      <c r="F11" s="8">
        <v>97375245</v>
      </c>
      <c r="G11" s="9">
        <v>41522</v>
      </c>
      <c r="H11" s="7">
        <v>3771</v>
      </c>
      <c r="I11" s="8">
        <v>238679850</v>
      </c>
      <c r="K11" s="11"/>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c r="C18" s="5" t="s">
        <v>21</v>
      </c>
      <c r="D18" s="6">
        <v>41493</v>
      </c>
      <c r="E18" s="7">
        <v>3260</v>
      </c>
      <c r="F18" s="8">
        <v>26419396</v>
      </c>
      <c r="G18" s="9">
        <v>41613</v>
      </c>
      <c r="H18" s="7">
        <v>3445</v>
      </c>
      <c r="I18" s="8">
        <v>150394119</v>
      </c>
    </row>
    <row r="19" spans="1:9" x14ac:dyDescent="0.3">
      <c r="A19" s="3">
        <v>17</v>
      </c>
      <c r="B19" s="4"/>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autoFilter ref="A2:I2"/>
  <mergeCells count="1">
    <mergeCell ref="A1:I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 min="10" max="10" width="14.8984375" customWidth="1"/>
  </cols>
  <sheetData>
    <row r="1" spans="1:12" x14ac:dyDescent="0.3">
      <c r="A1" s="62" t="s">
        <v>3</v>
      </c>
      <c r="B1" s="63"/>
      <c r="C1" s="63"/>
      <c r="D1" s="63"/>
      <c r="E1" s="63"/>
      <c r="F1" s="63"/>
      <c r="G1" s="63"/>
      <c r="H1" s="63"/>
      <c r="I1" s="64"/>
      <c r="K1" s="10" t="s">
        <v>144</v>
      </c>
    </row>
    <row r="2" spans="1:12" ht="31.2" x14ac:dyDescent="0.3">
      <c r="A2" s="1" t="s">
        <v>4</v>
      </c>
      <c r="B2" s="1" t="s">
        <v>5</v>
      </c>
      <c r="C2" s="1" t="s">
        <v>6</v>
      </c>
      <c r="D2" s="1" t="s">
        <v>7</v>
      </c>
      <c r="E2" s="2" t="s">
        <v>8</v>
      </c>
      <c r="F2" s="2" t="s">
        <v>9</v>
      </c>
      <c r="G2" s="1" t="s">
        <v>10</v>
      </c>
      <c r="H2" s="2" t="s">
        <v>11</v>
      </c>
      <c r="I2" s="2" t="s">
        <v>12</v>
      </c>
      <c r="K2" s="11">
        <v>1</v>
      </c>
      <c r="L2" s="12" t="s">
        <v>188</v>
      </c>
    </row>
    <row r="3" spans="1:12" x14ac:dyDescent="0.3">
      <c r="A3" s="3">
        <v>1</v>
      </c>
      <c r="B3" s="4" t="s">
        <v>13</v>
      </c>
      <c r="C3" s="5" t="s">
        <v>14</v>
      </c>
      <c r="D3" s="6">
        <v>41600</v>
      </c>
      <c r="E3" s="20">
        <v>1</v>
      </c>
      <c r="F3" s="19">
        <f>E3*37971.243334134</f>
        <v>37971.243334134</v>
      </c>
      <c r="G3" s="9">
        <v>41732</v>
      </c>
      <c r="H3" s="7">
        <v>4163</v>
      </c>
      <c r="I3" s="19">
        <f>F3+266593761</f>
        <v>266631732.24333414</v>
      </c>
      <c r="J3" s="17"/>
      <c r="K3" s="11">
        <v>2</v>
      </c>
      <c r="L3" t="s">
        <v>189</v>
      </c>
    </row>
    <row r="4" spans="1:12" x14ac:dyDescent="0.3">
      <c r="A4" s="3">
        <v>2</v>
      </c>
      <c r="B4" s="4" t="s">
        <v>15</v>
      </c>
      <c r="C4" s="5" t="s">
        <v>16</v>
      </c>
      <c r="D4" s="6">
        <v>41397</v>
      </c>
      <c r="E4" s="7">
        <v>4253</v>
      </c>
      <c r="F4" s="8">
        <v>174144585</v>
      </c>
      <c r="G4" s="9">
        <v>41529</v>
      </c>
      <c r="H4" s="7">
        <v>4253</v>
      </c>
      <c r="I4" s="8">
        <v>409013994</v>
      </c>
      <c r="K4" s="11"/>
    </row>
    <row r="5" spans="1:12" x14ac:dyDescent="0.3">
      <c r="A5" s="3">
        <v>3</v>
      </c>
      <c r="B5" s="4" t="s">
        <v>17</v>
      </c>
      <c r="C5" s="5" t="s">
        <v>16</v>
      </c>
      <c r="D5" s="6">
        <v>41600</v>
      </c>
      <c r="E5" s="7">
        <v>1</v>
      </c>
      <c r="F5" s="8">
        <v>243390</v>
      </c>
      <c r="G5" s="9">
        <v>41837</v>
      </c>
      <c r="H5" s="7">
        <v>3742</v>
      </c>
      <c r="I5" s="8">
        <v>400738009</v>
      </c>
    </row>
    <row r="6" spans="1:12" x14ac:dyDescent="0.3">
      <c r="A6" s="3">
        <v>4</v>
      </c>
      <c r="B6" s="4" t="s">
        <v>18</v>
      </c>
      <c r="C6" s="5" t="s">
        <v>19</v>
      </c>
      <c r="D6" s="6">
        <v>41458</v>
      </c>
      <c r="E6" s="7">
        <v>3997</v>
      </c>
      <c r="F6" s="8">
        <v>83517315</v>
      </c>
      <c r="G6" s="9">
        <v>41655</v>
      </c>
      <c r="H6" s="7">
        <v>4003</v>
      </c>
      <c r="I6" s="8">
        <v>368061265</v>
      </c>
    </row>
    <row r="7" spans="1:12" x14ac:dyDescent="0.3">
      <c r="A7" s="3">
        <v>5</v>
      </c>
      <c r="B7" s="4" t="s">
        <v>20</v>
      </c>
      <c r="C7" s="5" t="s">
        <v>21</v>
      </c>
      <c r="D7" s="6">
        <v>41439</v>
      </c>
      <c r="E7" s="7">
        <v>4207</v>
      </c>
      <c r="F7" s="8">
        <v>116619362</v>
      </c>
      <c r="G7" s="9">
        <v>41536</v>
      </c>
      <c r="H7" s="7">
        <v>4207</v>
      </c>
      <c r="I7" s="8">
        <v>291045518</v>
      </c>
    </row>
    <row r="8" spans="1:12" x14ac:dyDescent="0.3">
      <c r="A8" s="3">
        <v>6</v>
      </c>
      <c r="B8" s="4" t="s">
        <v>22</v>
      </c>
      <c r="C8" s="5" t="s">
        <v>21</v>
      </c>
      <c r="D8" s="6">
        <v>41551</v>
      </c>
      <c r="E8" s="7">
        <v>3575</v>
      </c>
      <c r="F8" s="8">
        <v>55785112</v>
      </c>
      <c r="G8" s="9">
        <v>41767</v>
      </c>
      <c r="H8" s="7">
        <v>3820</v>
      </c>
      <c r="I8" s="8">
        <v>274092705</v>
      </c>
    </row>
    <row r="9" spans="1:12" x14ac:dyDescent="0.3">
      <c r="A9" s="3">
        <v>7</v>
      </c>
      <c r="B9" s="4" t="s">
        <v>23</v>
      </c>
      <c r="C9" s="5" t="s">
        <v>16</v>
      </c>
      <c r="D9" s="6">
        <v>41446</v>
      </c>
      <c r="E9" s="7">
        <v>4004</v>
      </c>
      <c r="F9" s="8">
        <v>82429469</v>
      </c>
      <c r="G9" s="9">
        <v>41627</v>
      </c>
      <c r="H9" s="7">
        <v>4004</v>
      </c>
      <c r="I9" s="8">
        <v>268492764</v>
      </c>
    </row>
    <row r="10" spans="1:12" x14ac:dyDescent="0.3">
      <c r="A10" s="3">
        <v>8</v>
      </c>
      <c r="B10" s="4" t="s">
        <v>24</v>
      </c>
      <c r="C10" s="5" t="s">
        <v>21</v>
      </c>
      <c r="D10" s="6">
        <v>41621</v>
      </c>
      <c r="E10" s="7">
        <v>3903</v>
      </c>
      <c r="F10" s="8">
        <v>73645197</v>
      </c>
      <c r="G10" s="9">
        <v>41746</v>
      </c>
      <c r="H10" s="7">
        <v>3928</v>
      </c>
      <c r="I10" s="8">
        <v>258366855</v>
      </c>
    </row>
    <row r="11" spans="1:12" x14ac:dyDescent="0.3">
      <c r="A11" s="3">
        <v>9</v>
      </c>
      <c r="B11" s="4" t="s">
        <v>25</v>
      </c>
      <c r="C11" s="5" t="s">
        <v>19</v>
      </c>
      <c r="D11" s="6">
        <v>41418</v>
      </c>
      <c r="E11" s="7">
        <v>3658</v>
      </c>
      <c r="F11" s="8">
        <v>97375245</v>
      </c>
      <c r="G11" s="9">
        <v>41522</v>
      </c>
      <c r="H11" s="7">
        <v>3771</v>
      </c>
      <c r="I11" s="8">
        <v>238679850</v>
      </c>
    </row>
    <row r="12" spans="1:12" x14ac:dyDescent="0.3">
      <c r="A12" s="3">
        <v>10</v>
      </c>
      <c r="B12" s="4" t="s">
        <v>26</v>
      </c>
      <c r="C12" s="5" t="s">
        <v>16</v>
      </c>
      <c r="D12" s="6">
        <v>41341</v>
      </c>
      <c r="E12" s="7">
        <v>3912</v>
      </c>
      <c r="F12" s="8">
        <v>79110453</v>
      </c>
      <c r="G12" s="9">
        <v>41473</v>
      </c>
      <c r="H12" s="7">
        <v>3912</v>
      </c>
      <c r="I12" s="8">
        <v>234911825</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02"/>
  <sheetViews>
    <sheetView workbookViewId="0"/>
  </sheetViews>
  <sheetFormatPr defaultRowHeight="15.6" x14ac:dyDescent="0.3"/>
  <sheetData>
    <row r="1" spans="1:15" ht="15.6" customHeight="1" x14ac:dyDescent="0.3">
      <c r="A1" t="s">
        <v>3</v>
      </c>
      <c r="N1" s="10" t="s">
        <v>0</v>
      </c>
    </row>
    <row r="2" spans="1:15" x14ac:dyDescent="0.3">
      <c r="A2" t="s">
        <v>190</v>
      </c>
      <c r="N2" s="11">
        <v>1</v>
      </c>
      <c r="O2" s="12" t="s">
        <v>291</v>
      </c>
    </row>
    <row r="3" spans="1:15" x14ac:dyDescent="0.3">
      <c r="A3" t="s">
        <v>191</v>
      </c>
      <c r="N3" s="11">
        <v>2</v>
      </c>
      <c r="O3" s="12" t="s">
        <v>292</v>
      </c>
    </row>
    <row r="4" spans="1:15" x14ac:dyDescent="0.3">
      <c r="A4" t="s">
        <v>192</v>
      </c>
      <c r="N4" s="11"/>
    </row>
    <row r="5" spans="1:15" x14ac:dyDescent="0.3">
      <c r="A5" t="s">
        <v>193</v>
      </c>
      <c r="E5" s="11"/>
    </row>
    <row r="6" spans="1:15" x14ac:dyDescent="0.3">
      <c r="A6" t="s">
        <v>194</v>
      </c>
      <c r="E6" s="11"/>
    </row>
    <row r="7" spans="1:15" x14ac:dyDescent="0.3">
      <c r="A7" t="s">
        <v>195</v>
      </c>
      <c r="E7" s="11"/>
    </row>
    <row r="8" spans="1:15" x14ac:dyDescent="0.3">
      <c r="A8" t="s">
        <v>196</v>
      </c>
      <c r="E8" s="11"/>
    </row>
    <row r="9" spans="1:15" x14ac:dyDescent="0.3">
      <c r="A9" t="s">
        <v>197</v>
      </c>
      <c r="E9" s="11"/>
    </row>
    <row r="10" spans="1:15" x14ac:dyDescent="0.3">
      <c r="A10" t="s">
        <v>198</v>
      </c>
      <c r="E10" s="11"/>
    </row>
    <row r="11" spans="1:15" x14ac:dyDescent="0.3">
      <c r="A11" t="s">
        <v>199</v>
      </c>
      <c r="E11" s="11"/>
    </row>
    <row r="12" spans="1:15" x14ac:dyDescent="0.3">
      <c r="A12" t="s">
        <v>200</v>
      </c>
    </row>
    <row r="13" spans="1:15" x14ac:dyDescent="0.3">
      <c r="A13" t="s">
        <v>201</v>
      </c>
    </row>
    <row r="14" spans="1:15" x14ac:dyDescent="0.3">
      <c r="A14" t="s">
        <v>202</v>
      </c>
    </row>
    <row r="15" spans="1:15" x14ac:dyDescent="0.3">
      <c r="A15" t="s">
        <v>203</v>
      </c>
    </row>
    <row r="16" spans="1:15" x14ac:dyDescent="0.3">
      <c r="A16" t="s">
        <v>204</v>
      </c>
    </row>
    <row r="17" spans="1:1" x14ac:dyDescent="0.3">
      <c r="A17" t="s">
        <v>205</v>
      </c>
    </row>
    <row r="18" spans="1:1" x14ac:dyDescent="0.3">
      <c r="A18" t="s">
        <v>206</v>
      </c>
    </row>
    <row r="19" spans="1:1" x14ac:dyDescent="0.3">
      <c r="A19" t="s">
        <v>207</v>
      </c>
    </row>
    <row r="20" spans="1:1" x14ac:dyDescent="0.3">
      <c r="A20" t="s">
        <v>208</v>
      </c>
    </row>
    <row r="21" spans="1:1" x14ac:dyDescent="0.3">
      <c r="A21" t="s">
        <v>209</v>
      </c>
    </row>
    <row r="22" spans="1:1" x14ac:dyDescent="0.3">
      <c r="A22" t="s">
        <v>210</v>
      </c>
    </row>
    <row r="23" spans="1:1" x14ac:dyDescent="0.3">
      <c r="A23" t="s">
        <v>211</v>
      </c>
    </row>
    <row r="24" spans="1:1" x14ac:dyDescent="0.3">
      <c r="A24" t="s">
        <v>212</v>
      </c>
    </row>
    <row r="25" spans="1:1" x14ac:dyDescent="0.3">
      <c r="A25" t="s">
        <v>213</v>
      </c>
    </row>
    <row r="26" spans="1:1" x14ac:dyDescent="0.3">
      <c r="A26" t="s">
        <v>214</v>
      </c>
    </row>
    <row r="27" spans="1:1" x14ac:dyDescent="0.3">
      <c r="A27" t="s">
        <v>215</v>
      </c>
    </row>
    <row r="28" spans="1:1" x14ac:dyDescent="0.3">
      <c r="A28" t="s">
        <v>216</v>
      </c>
    </row>
    <row r="29" spans="1:1" x14ac:dyDescent="0.3">
      <c r="A29" t="s">
        <v>217</v>
      </c>
    </row>
    <row r="30" spans="1:1" x14ac:dyDescent="0.3">
      <c r="A30" t="s">
        <v>218</v>
      </c>
    </row>
    <row r="31" spans="1:1" x14ac:dyDescent="0.3">
      <c r="A31" t="s">
        <v>219</v>
      </c>
    </row>
    <row r="32" spans="1:1" x14ac:dyDescent="0.3">
      <c r="A32" t="s">
        <v>220</v>
      </c>
    </row>
    <row r="33" spans="1:1" x14ac:dyDescent="0.3">
      <c r="A33" t="s">
        <v>221</v>
      </c>
    </row>
    <row r="34" spans="1:1" x14ac:dyDescent="0.3">
      <c r="A34" t="s">
        <v>222</v>
      </c>
    </row>
    <row r="35" spans="1:1" x14ac:dyDescent="0.3">
      <c r="A35" t="s">
        <v>223</v>
      </c>
    </row>
    <row r="36" spans="1:1" x14ac:dyDescent="0.3">
      <c r="A36" t="s">
        <v>224</v>
      </c>
    </row>
    <row r="37" spans="1:1" x14ac:dyDescent="0.3">
      <c r="A37" t="s">
        <v>225</v>
      </c>
    </row>
    <row r="38" spans="1:1" x14ac:dyDescent="0.3">
      <c r="A38" t="s">
        <v>226</v>
      </c>
    </row>
    <row r="39" spans="1:1" x14ac:dyDescent="0.3">
      <c r="A39" t="s">
        <v>227</v>
      </c>
    </row>
    <row r="40" spans="1:1" x14ac:dyDescent="0.3">
      <c r="A40" t="s">
        <v>228</v>
      </c>
    </row>
    <row r="41" spans="1:1" x14ac:dyDescent="0.3">
      <c r="A41" t="s">
        <v>229</v>
      </c>
    </row>
    <row r="42" spans="1:1" x14ac:dyDescent="0.3">
      <c r="A42" t="s">
        <v>230</v>
      </c>
    </row>
    <row r="43" spans="1:1" x14ac:dyDescent="0.3">
      <c r="A43" t="s">
        <v>231</v>
      </c>
    </row>
    <row r="44" spans="1:1" x14ac:dyDescent="0.3">
      <c r="A44" t="s">
        <v>232</v>
      </c>
    </row>
    <row r="45" spans="1:1" x14ac:dyDescent="0.3">
      <c r="A45" t="s">
        <v>233</v>
      </c>
    </row>
    <row r="46" spans="1:1" x14ac:dyDescent="0.3">
      <c r="A46" t="s">
        <v>234</v>
      </c>
    </row>
    <row r="47" spans="1:1" x14ac:dyDescent="0.3">
      <c r="A47" t="s">
        <v>235</v>
      </c>
    </row>
    <row r="48" spans="1:1" x14ac:dyDescent="0.3">
      <c r="A48" t="s">
        <v>236</v>
      </c>
    </row>
    <row r="49" spans="1:1" x14ac:dyDescent="0.3">
      <c r="A49" t="s">
        <v>237</v>
      </c>
    </row>
    <row r="50" spans="1:1" x14ac:dyDescent="0.3">
      <c r="A50" t="s">
        <v>238</v>
      </c>
    </row>
    <row r="51" spans="1:1" x14ac:dyDescent="0.3">
      <c r="A51" t="s">
        <v>239</v>
      </c>
    </row>
    <row r="52" spans="1:1" x14ac:dyDescent="0.3">
      <c r="A52" t="s">
        <v>240</v>
      </c>
    </row>
    <row r="53" spans="1:1" x14ac:dyDescent="0.3">
      <c r="A53" t="s">
        <v>241</v>
      </c>
    </row>
    <row r="54" spans="1:1" x14ac:dyDescent="0.3">
      <c r="A54" t="s">
        <v>242</v>
      </c>
    </row>
    <row r="55" spans="1:1" x14ac:dyDescent="0.3">
      <c r="A55" t="s">
        <v>243</v>
      </c>
    </row>
    <row r="56" spans="1:1" x14ac:dyDescent="0.3">
      <c r="A56" t="s">
        <v>244</v>
      </c>
    </row>
    <row r="57" spans="1:1" x14ac:dyDescent="0.3">
      <c r="A57" t="s">
        <v>245</v>
      </c>
    </row>
    <row r="58" spans="1:1" x14ac:dyDescent="0.3">
      <c r="A58" t="s">
        <v>246</v>
      </c>
    </row>
    <row r="59" spans="1:1" x14ac:dyDescent="0.3">
      <c r="A59" t="s">
        <v>247</v>
      </c>
    </row>
    <row r="60" spans="1:1" x14ac:dyDescent="0.3">
      <c r="A60" t="s">
        <v>248</v>
      </c>
    </row>
    <row r="61" spans="1:1" x14ac:dyDescent="0.3">
      <c r="A61" t="s">
        <v>249</v>
      </c>
    </row>
    <row r="62" spans="1:1" x14ac:dyDescent="0.3">
      <c r="A62" t="s">
        <v>250</v>
      </c>
    </row>
    <row r="63" spans="1:1" x14ac:dyDescent="0.3">
      <c r="A63" t="s">
        <v>251</v>
      </c>
    </row>
    <row r="64" spans="1:1" x14ac:dyDescent="0.3">
      <c r="A64" t="s">
        <v>252</v>
      </c>
    </row>
    <row r="65" spans="1:1" x14ac:dyDescent="0.3">
      <c r="A65" t="s">
        <v>253</v>
      </c>
    </row>
    <row r="66" spans="1:1" x14ac:dyDescent="0.3">
      <c r="A66" t="s">
        <v>254</v>
      </c>
    </row>
    <row r="67" spans="1:1" x14ac:dyDescent="0.3">
      <c r="A67" t="s">
        <v>255</v>
      </c>
    </row>
    <row r="68" spans="1:1" x14ac:dyDescent="0.3">
      <c r="A68" t="s">
        <v>256</v>
      </c>
    </row>
    <row r="69" spans="1:1" x14ac:dyDescent="0.3">
      <c r="A69" t="s">
        <v>257</v>
      </c>
    </row>
    <row r="70" spans="1:1" x14ac:dyDescent="0.3">
      <c r="A70" t="s">
        <v>258</v>
      </c>
    </row>
    <row r="71" spans="1:1" x14ac:dyDescent="0.3">
      <c r="A71" t="s">
        <v>259</v>
      </c>
    </row>
    <row r="72" spans="1:1" x14ac:dyDescent="0.3">
      <c r="A72" t="s">
        <v>260</v>
      </c>
    </row>
    <row r="73" spans="1:1" x14ac:dyDescent="0.3">
      <c r="A73" t="s">
        <v>261</v>
      </c>
    </row>
    <row r="74" spans="1:1" x14ac:dyDescent="0.3">
      <c r="A74" t="s">
        <v>262</v>
      </c>
    </row>
    <row r="75" spans="1:1" x14ac:dyDescent="0.3">
      <c r="A75" t="s">
        <v>263</v>
      </c>
    </row>
    <row r="76" spans="1:1" x14ac:dyDescent="0.3">
      <c r="A76" t="s">
        <v>264</v>
      </c>
    </row>
    <row r="77" spans="1:1" x14ac:dyDescent="0.3">
      <c r="A77" t="s">
        <v>265</v>
      </c>
    </row>
    <row r="78" spans="1:1" x14ac:dyDescent="0.3">
      <c r="A78" t="s">
        <v>266</v>
      </c>
    </row>
    <row r="79" spans="1:1" x14ac:dyDescent="0.3">
      <c r="A79" t="s">
        <v>267</v>
      </c>
    </row>
    <row r="80" spans="1:1" x14ac:dyDescent="0.3">
      <c r="A80" t="s">
        <v>268</v>
      </c>
    </row>
    <row r="81" spans="1:1" x14ac:dyDescent="0.3">
      <c r="A81" t="s">
        <v>269</v>
      </c>
    </row>
    <row r="82" spans="1:1" x14ac:dyDescent="0.3">
      <c r="A82" t="s">
        <v>270</v>
      </c>
    </row>
    <row r="83" spans="1:1" x14ac:dyDescent="0.3">
      <c r="A83" t="s">
        <v>271</v>
      </c>
    </row>
    <row r="84" spans="1:1" x14ac:dyDescent="0.3">
      <c r="A84" t="s">
        <v>272</v>
      </c>
    </row>
    <row r="85" spans="1:1" x14ac:dyDescent="0.3">
      <c r="A85" t="s">
        <v>273</v>
      </c>
    </row>
    <row r="86" spans="1:1" x14ac:dyDescent="0.3">
      <c r="A86" t="s">
        <v>274</v>
      </c>
    </row>
    <row r="87" spans="1:1" x14ac:dyDescent="0.3">
      <c r="A87" t="s">
        <v>275</v>
      </c>
    </row>
    <row r="88" spans="1:1" x14ac:dyDescent="0.3">
      <c r="A88" t="s">
        <v>276</v>
      </c>
    </row>
    <row r="89" spans="1:1" x14ac:dyDescent="0.3">
      <c r="A89" t="s">
        <v>277</v>
      </c>
    </row>
    <row r="90" spans="1:1" x14ac:dyDescent="0.3">
      <c r="A90" t="s">
        <v>278</v>
      </c>
    </row>
    <row r="91" spans="1:1" x14ac:dyDescent="0.3">
      <c r="A91" t="s">
        <v>279</v>
      </c>
    </row>
    <row r="92" spans="1:1" x14ac:dyDescent="0.3">
      <c r="A92" t="s">
        <v>280</v>
      </c>
    </row>
    <row r="93" spans="1:1" x14ac:dyDescent="0.3">
      <c r="A93" t="s">
        <v>281</v>
      </c>
    </row>
    <row r="94" spans="1:1" x14ac:dyDescent="0.3">
      <c r="A94" t="s">
        <v>282</v>
      </c>
    </row>
    <row r="95" spans="1:1" x14ac:dyDescent="0.3">
      <c r="A95" t="s">
        <v>283</v>
      </c>
    </row>
    <row r="96" spans="1:1" x14ac:dyDescent="0.3">
      <c r="A96" t="s">
        <v>284</v>
      </c>
    </row>
    <row r="97" spans="1:1" x14ac:dyDescent="0.3">
      <c r="A97" t="s">
        <v>285</v>
      </c>
    </row>
    <row r="98" spans="1:1" x14ac:dyDescent="0.3">
      <c r="A98" t="s">
        <v>286</v>
      </c>
    </row>
    <row r="99" spans="1:1" x14ac:dyDescent="0.3">
      <c r="A99" t="s">
        <v>287</v>
      </c>
    </row>
    <row r="100" spans="1:1" x14ac:dyDescent="0.3">
      <c r="A100" t="s">
        <v>288</v>
      </c>
    </row>
    <row r="101" spans="1:1" x14ac:dyDescent="0.3">
      <c r="A101" t="s">
        <v>289</v>
      </c>
    </row>
    <row r="102" spans="1:1" x14ac:dyDescent="0.3">
      <c r="A102" t="s">
        <v>290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106"/>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133</v>
      </c>
    </row>
    <row r="2" spans="1:12" ht="31.2" x14ac:dyDescent="0.3">
      <c r="A2" s="1" t="s">
        <v>4</v>
      </c>
      <c r="B2" s="1" t="s">
        <v>5</v>
      </c>
      <c r="C2" s="1" t="s">
        <v>6</v>
      </c>
      <c r="D2" s="1" t="s">
        <v>7</v>
      </c>
      <c r="E2" s="2" t="s">
        <v>8</v>
      </c>
      <c r="F2" s="2" t="s">
        <v>9</v>
      </c>
      <c r="G2" s="1" t="s">
        <v>10</v>
      </c>
      <c r="H2" s="2" t="s">
        <v>11</v>
      </c>
      <c r="I2" s="2" t="s">
        <v>12</v>
      </c>
      <c r="K2" s="11">
        <v>1</v>
      </c>
      <c r="L2" s="12" t="s">
        <v>291</v>
      </c>
    </row>
    <row r="3" spans="1:12" x14ac:dyDescent="0.3">
      <c r="A3" s="21">
        <v>1</v>
      </c>
      <c r="B3" s="22" t="s">
        <v>13</v>
      </c>
      <c r="C3" s="15" t="s">
        <v>14</v>
      </c>
      <c r="D3" s="23">
        <v>41600</v>
      </c>
      <c r="E3" s="20">
        <v>4163</v>
      </c>
      <c r="F3" s="18">
        <v>158074286</v>
      </c>
      <c r="G3" s="24">
        <v>41732</v>
      </c>
      <c r="H3" s="20">
        <v>4163</v>
      </c>
      <c r="I3" s="18">
        <v>424668047</v>
      </c>
      <c r="K3" s="11">
        <v>2</v>
      </c>
      <c r="L3" t="s">
        <v>293</v>
      </c>
    </row>
    <row r="4" spans="1:12" x14ac:dyDescent="0.3">
      <c r="A4" s="21">
        <v>1</v>
      </c>
      <c r="B4" s="22" t="s">
        <v>13</v>
      </c>
      <c r="C4" s="15" t="s">
        <v>14</v>
      </c>
      <c r="D4" s="23">
        <v>41600</v>
      </c>
      <c r="E4" s="20">
        <v>4163</v>
      </c>
      <c r="F4" s="18">
        <v>158074286</v>
      </c>
      <c r="G4" s="24">
        <v>41732</v>
      </c>
      <c r="H4" s="20">
        <v>4163</v>
      </c>
      <c r="I4" s="18">
        <v>424668047</v>
      </c>
      <c r="K4" s="11">
        <v>3</v>
      </c>
      <c r="L4" t="s">
        <v>294</v>
      </c>
    </row>
    <row r="5" spans="1:12" x14ac:dyDescent="0.3">
      <c r="A5" s="3">
        <v>2</v>
      </c>
      <c r="B5" s="4" t="s">
        <v>15</v>
      </c>
      <c r="C5" s="5" t="s">
        <v>16</v>
      </c>
      <c r="D5" s="6">
        <v>41397</v>
      </c>
      <c r="E5" s="7">
        <v>4253</v>
      </c>
      <c r="F5" s="8">
        <v>174144585</v>
      </c>
      <c r="G5" s="9">
        <v>41529</v>
      </c>
      <c r="H5" s="7">
        <v>4253</v>
      </c>
      <c r="I5" s="8">
        <v>409013994</v>
      </c>
      <c r="K5" s="11">
        <v>4</v>
      </c>
      <c r="L5" t="s">
        <v>295</v>
      </c>
    </row>
    <row r="6" spans="1:12" x14ac:dyDescent="0.3">
      <c r="A6" s="3">
        <v>3</v>
      </c>
      <c r="B6" s="4" t="s">
        <v>17</v>
      </c>
      <c r="C6" s="5" t="s">
        <v>16</v>
      </c>
      <c r="D6" s="6">
        <v>41600</v>
      </c>
      <c r="E6" s="7">
        <v>1</v>
      </c>
      <c r="F6" s="8">
        <v>243390</v>
      </c>
      <c r="G6" s="9">
        <v>41837</v>
      </c>
      <c r="H6" s="7">
        <v>3742</v>
      </c>
      <c r="I6" s="8">
        <v>400738009</v>
      </c>
      <c r="K6" s="11"/>
    </row>
    <row r="7" spans="1:12" x14ac:dyDescent="0.3">
      <c r="A7" s="3">
        <v>4</v>
      </c>
      <c r="B7" s="4" t="s">
        <v>18</v>
      </c>
      <c r="C7" s="5" t="s">
        <v>19</v>
      </c>
      <c r="D7" s="6">
        <v>41458</v>
      </c>
      <c r="E7" s="7">
        <v>3997</v>
      </c>
      <c r="F7" s="8">
        <v>83517315</v>
      </c>
      <c r="G7" s="9">
        <v>41655</v>
      </c>
      <c r="H7" s="7">
        <v>4003</v>
      </c>
      <c r="I7" s="8">
        <v>368061265</v>
      </c>
      <c r="K7" s="11"/>
    </row>
    <row r="8" spans="1:12" x14ac:dyDescent="0.3">
      <c r="A8" s="21">
        <v>1</v>
      </c>
      <c r="B8" s="22" t="s">
        <v>13</v>
      </c>
      <c r="C8" s="15" t="s">
        <v>14</v>
      </c>
      <c r="D8" s="23">
        <v>41600</v>
      </c>
      <c r="E8" s="20">
        <v>4163</v>
      </c>
      <c r="F8" s="18">
        <v>158074286</v>
      </c>
      <c r="G8" s="24">
        <v>41732</v>
      </c>
      <c r="H8" s="20">
        <v>4163</v>
      </c>
      <c r="I8" s="18">
        <v>424668047</v>
      </c>
      <c r="K8" s="11"/>
    </row>
    <row r="9" spans="1:12" x14ac:dyDescent="0.3">
      <c r="A9" s="3">
        <v>5</v>
      </c>
      <c r="B9" s="4" t="s">
        <v>20</v>
      </c>
      <c r="C9" s="5" t="s">
        <v>21</v>
      </c>
      <c r="D9" s="6">
        <v>41439</v>
      </c>
      <c r="E9" s="7">
        <v>4207</v>
      </c>
      <c r="F9" s="8">
        <v>116619362</v>
      </c>
      <c r="G9" s="9">
        <v>41536</v>
      </c>
      <c r="H9" s="7">
        <v>4207</v>
      </c>
      <c r="I9" s="8">
        <v>291045518</v>
      </c>
      <c r="K9" s="11"/>
    </row>
    <row r="10" spans="1:12" x14ac:dyDescent="0.3">
      <c r="A10" s="3">
        <v>6</v>
      </c>
      <c r="B10" s="4" t="s">
        <v>22</v>
      </c>
      <c r="C10" s="5" t="s">
        <v>21</v>
      </c>
      <c r="D10" s="6">
        <v>41551</v>
      </c>
      <c r="E10" s="7">
        <v>3575</v>
      </c>
      <c r="F10" s="8">
        <v>55785112</v>
      </c>
      <c r="G10" s="9">
        <v>41767</v>
      </c>
      <c r="H10" s="7">
        <v>3820</v>
      </c>
      <c r="I10" s="8">
        <v>274092705</v>
      </c>
      <c r="K10" s="11"/>
    </row>
    <row r="11" spans="1:12" x14ac:dyDescent="0.3">
      <c r="A11" s="3">
        <v>7</v>
      </c>
      <c r="B11" s="4" t="s">
        <v>23</v>
      </c>
      <c r="C11" s="5" t="s">
        <v>16</v>
      </c>
      <c r="D11" s="6">
        <v>41446</v>
      </c>
      <c r="E11" s="7">
        <v>4004</v>
      </c>
      <c r="F11" s="8">
        <v>82429469</v>
      </c>
      <c r="G11" s="9">
        <v>41627</v>
      </c>
      <c r="H11" s="7">
        <v>4004</v>
      </c>
      <c r="I11" s="8">
        <v>268492764</v>
      </c>
      <c r="K11" s="11"/>
    </row>
    <row r="12" spans="1:12" x14ac:dyDescent="0.3">
      <c r="A12" s="3">
        <v>8</v>
      </c>
      <c r="B12" s="4" t="s">
        <v>24</v>
      </c>
      <c r="C12" s="5" t="s">
        <v>21</v>
      </c>
      <c r="D12" s="6">
        <v>41621</v>
      </c>
      <c r="E12" s="7">
        <v>3903</v>
      </c>
      <c r="F12" s="8">
        <v>73645197</v>
      </c>
      <c r="G12" s="9">
        <v>41746</v>
      </c>
      <c r="H12" s="7">
        <v>3928</v>
      </c>
      <c r="I12" s="8">
        <v>258366855</v>
      </c>
      <c r="K12" s="11"/>
    </row>
    <row r="13" spans="1:12" x14ac:dyDescent="0.3">
      <c r="A13" s="3">
        <v>9</v>
      </c>
      <c r="B13" s="4" t="s">
        <v>25</v>
      </c>
      <c r="C13" s="5" t="s">
        <v>19</v>
      </c>
      <c r="D13" s="6">
        <v>41418</v>
      </c>
      <c r="E13" s="7">
        <v>3658</v>
      </c>
      <c r="F13" s="8">
        <v>97375245</v>
      </c>
      <c r="G13" s="9">
        <v>41522</v>
      </c>
      <c r="H13" s="7">
        <v>3771</v>
      </c>
      <c r="I13" s="8">
        <v>238679850</v>
      </c>
      <c r="K13" s="11"/>
    </row>
    <row r="14" spans="1:12" x14ac:dyDescent="0.3">
      <c r="A14" s="21">
        <v>1</v>
      </c>
      <c r="B14" s="22" t="s">
        <v>13</v>
      </c>
      <c r="C14" s="15" t="s">
        <v>14</v>
      </c>
      <c r="D14" s="23">
        <v>41600</v>
      </c>
      <c r="E14" s="20">
        <v>4163</v>
      </c>
      <c r="F14" s="18">
        <v>158074286</v>
      </c>
      <c r="G14" s="24">
        <v>41732</v>
      </c>
      <c r="H14" s="20">
        <v>4163</v>
      </c>
      <c r="I14" s="18">
        <v>424668047</v>
      </c>
      <c r="K14" s="11"/>
    </row>
    <row r="15" spans="1:12" x14ac:dyDescent="0.3">
      <c r="A15" s="3">
        <v>10</v>
      </c>
      <c r="B15" s="4" t="s">
        <v>26</v>
      </c>
      <c r="C15" s="5" t="s">
        <v>16</v>
      </c>
      <c r="D15" s="6">
        <v>41341</v>
      </c>
      <c r="E15" s="7">
        <v>3912</v>
      </c>
      <c r="F15" s="8">
        <v>79110453</v>
      </c>
      <c r="G15" s="9">
        <v>41473</v>
      </c>
      <c r="H15" s="7">
        <v>3912</v>
      </c>
      <c r="I15" s="8">
        <v>234911825</v>
      </c>
      <c r="K15" s="11"/>
    </row>
    <row r="16" spans="1:12" x14ac:dyDescent="0.3">
      <c r="A16" s="3">
        <v>11</v>
      </c>
      <c r="B16" s="4" t="s">
        <v>27</v>
      </c>
      <c r="C16" s="5" t="s">
        <v>28</v>
      </c>
      <c r="D16" s="6">
        <v>41410</v>
      </c>
      <c r="E16" s="7">
        <v>3868</v>
      </c>
      <c r="F16" s="8">
        <v>70165559</v>
      </c>
      <c r="G16" s="9">
        <v>41529</v>
      </c>
      <c r="H16" s="7">
        <v>3907</v>
      </c>
      <c r="I16" s="8">
        <v>228778661</v>
      </c>
      <c r="K16" s="11"/>
    </row>
    <row r="17" spans="1:11" x14ac:dyDescent="0.3">
      <c r="A17" s="3">
        <v>12</v>
      </c>
      <c r="B17" s="4" t="s">
        <v>29</v>
      </c>
      <c r="C17" s="5" t="s">
        <v>16</v>
      </c>
      <c r="D17" s="6">
        <v>41586</v>
      </c>
      <c r="E17" s="7">
        <v>3841</v>
      </c>
      <c r="F17" s="8">
        <v>85737841</v>
      </c>
      <c r="G17" s="9">
        <v>41746</v>
      </c>
      <c r="H17" s="7">
        <v>3841</v>
      </c>
      <c r="I17" s="8">
        <v>206362140</v>
      </c>
      <c r="K17" s="11"/>
    </row>
    <row r="18" spans="1:11" x14ac:dyDescent="0.3">
      <c r="A18" s="21">
        <v>1</v>
      </c>
      <c r="B18" s="22" t="s">
        <v>13</v>
      </c>
      <c r="C18" s="15" t="s">
        <v>14</v>
      </c>
      <c r="D18" s="23">
        <v>41600</v>
      </c>
      <c r="E18" s="20">
        <v>4163</v>
      </c>
      <c r="F18" s="18">
        <v>158074286</v>
      </c>
      <c r="G18" s="24">
        <v>41732</v>
      </c>
      <c r="H18" s="20">
        <v>4163</v>
      </c>
      <c r="I18" s="18">
        <v>424668047</v>
      </c>
    </row>
    <row r="19" spans="1:11" x14ac:dyDescent="0.3">
      <c r="A19" s="3">
        <v>13</v>
      </c>
      <c r="B19" s="4" t="s">
        <v>30</v>
      </c>
      <c r="C19" s="5" t="s">
        <v>28</v>
      </c>
      <c r="D19" s="6">
        <v>41446</v>
      </c>
      <c r="E19" s="7">
        <v>3607</v>
      </c>
      <c r="F19" s="8">
        <v>66411834</v>
      </c>
      <c r="G19" s="9">
        <v>41557</v>
      </c>
      <c r="H19" s="7">
        <v>3607</v>
      </c>
      <c r="I19" s="8">
        <v>202359711</v>
      </c>
    </row>
    <row r="20" spans="1:11" x14ac:dyDescent="0.3">
      <c r="A20" s="3">
        <v>14</v>
      </c>
      <c r="B20" s="4" t="s">
        <v>31</v>
      </c>
      <c r="C20" s="5" t="s">
        <v>32</v>
      </c>
      <c r="D20" s="6">
        <v>41355</v>
      </c>
      <c r="E20" s="7">
        <v>4046</v>
      </c>
      <c r="F20" s="8">
        <v>43639736</v>
      </c>
      <c r="G20" s="9">
        <v>41536</v>
      </c>
      <c r="H20" s="7">
        <v>4065</v>
      </c>
      <c r="I20" s="8">
        <v>187168425</v>
      </c>
    </row>
    <row r="21" spans="1:11" x14ac:dyDescent="0.3">
      <c r="A21" s="3">
        <v>15</v>
      </c>
      <c r="B21" s="4" t="s">
        <v>33</v>
      </c>
      <c r="C21" s="5" t="s">
        <v>32</v>
      </c>
      <c r="D21" s="6">
        <v>41453</v>
      </c>
      <c r="E21" s="7">
        <v>3181</v>
      </c>
      <c r="F21" s="8">
        <v>39115043</v>
      </c>
      <c r="G21" s="9">
        <v>41620</v>
      </c>
      <c r="H21" s="7">
        <v>3184</v>
      </c>
      <c r="I21" s="8">
        <v>159582188</v>
      </c>
    </row>
    <row r="22" spans="1:11" x14ac:dyDescent="0.3">
      <c r="A22" s="3">
        <v>16</v>
      </c>
      <c r="B22" s="4" t="s">
        <v>34</v>
      </c>
      <c r="C22" s="5" t="s">
        <v>21</v>
      </c>
      <c r="D22" s="6">
        <v>41493</v>
      </c>
      <c r="E22" s="7">
        <v>3260</v>
      </c>
      <c r="F22" s="8">
        <v>26419396</v>
      </c>
      <c r="G22" s="9">
        <v>41613</v>
      </c>
      <c r="H22" s="7">
        <v>3445</v>
      </c>
      <c r="I22" s="8">
        <v>150394119</v>
      </c>
    </row>
    <row r="23" spans="1:11" x14ac:dyDescent="0.3">
      <c r="A23" s="3">
        <v>17</v>
      </c>
      <c r="B23" s="4" t="s">
        <v>35</v>
      </c>
      <c r="C23" s="5" t="s">
        <v>36</v>
      </c>
      <c r="D23" s="6">
        <v>41621</v>
      </c>
      <c r="E23" s="7">
        <v>6</v>
      </c>
      <c r="F23" s="8">
        <v>740455</v>
      </c>
      <c r="G23" s="9">
        <v>41735</v>
      </c>
      <c r="H23" s="7">
        <v>2629</v>
      </c>
      <c r="I23" s="8">
        <v>150117807</v>
      </c>
    </row>
    <row r="24" spans="1:11" x14ac:dyDescent="0.3">
      <c r="A24" s="3">
        <v>18</v>
      </c>
      <c r="B24" s="4" t="s">
        <v>37</v>
      </c>
      <c r="C24" s="5" t="s">
        <v>21</v>
      </c>
      <c r="D24" s="6">
        <v>41404</v>
      </c>
      <c r="E24" s="7">
        <v>3535</v>
      </c>
      <c r="F24" s="8">
        <v>50085185</v>
      </c>
      <c r="G24" s="9">
        <v>41508</v>
      </c>
      <c r="H24" s="7">
        <v>3550</v>
      </c>
      <c r="I24" s="8">
        <v>144840419</v>
      </c>
    </row>
    <row r="25" spans="1:11" x14ac:dyDescent="0.3">
      <c r="A25" s="3">
        <v>19</v>
      </c>
      <c r="B25" s="4" t="s">
        <v>38</v>
      </c>
      <c r="C25" s="5" t="s">
        <v>21</v>
      </c>
      <c r="D25" s="6">
        <v>41474</v>
      </c>
      <c r="E25" s="7">
        <v>2903</v>
      </c>
      <c r="F25" s="8">
        <v>41855326</v>
      </c>
      <c r="G25" s="9">
        <v>41578</v>
      </c>
      <c r="H25" s="7">
        <v>3115</v>
      </c>
      <c r="I25" s="8">
        <v>137400141</v>
      </c>
    </row>
    <row r="26" spans="1:11" x14ac:dyDescent="0.3">
      <c r="A26" s="3">
        <v>20</v>
      </c>
      <c r="B26" s="4" t="s">
        <v>39</v>
      </c>
      <c r="C26" s="5" t="s">
        <v>19</v>
      </c>
      <c r="D26" s="6">
        <v>41313</v>
      </c>
      <c r="E26" s="7">
        <v>3141</v>
      </c>
      <c r="F26" s="8">
        <v>34551025</v>
      </c>
      <c r="G26" s="9">
        <v>41431</v>
      </c>
      <c r="H26" s="7">
        <v>3230</v>
      </c>
      <c r="I26" s="8">
        <v>134506920</v>
      </c>
    </row>
    <row r="27" spans="1:11" x14ac:dyDescent="0.3">
      <c r="A27" s="3">
        <v>21</v>
      </c>
      <c r="B27" s="4" t="s">
        <v>40</v>
      </c>
      <c r="C27" s="5" t="s">
        <v>36</v>
      </c>
      <c r="D27" s="6">
        <v>41467</v>
      </c>
      <c r="E27" s="7">
        <v>3491</v>
      </c>
      <c r="F27" s="8">
        <v>41508572</v>
      </c>
      <c r="G27" s="9">
        <v>41595</v>
      </c>
      <c r="H27" s="7">
        <v>3491</v>
      </c>
      <c r="I27" s="8">
        <v>133668525</v>
      </c>
    </row>
    <row r="28" spans="1:11" x14ac:dyDescent="0.3">
      <c r="A28" s="3">
        <v>22</v>
      </c>
      <c r="B28" s="4" t="s">
        <v>41</v>
      </c>
      <c r="C28" s="5" t="s">
        <v>32</v>
      </c>
      <c r="D28" s="6">
        <v>41481</v>
      </c>
      <c r="E28" s="7">
        <v>3924</v>
      </c>
      <c r="F28" s="8">
        <v>53113752</v>
      </c>
      <c r="G28" s="9">
        <v>41613</v>
      </c>
      <c r="H28" s="7">
        <v>3924</v>
      </c>
      <c r="I28" s="8">
        <v>132556852</v>
      </c>
    </row>
    <row r="29" spans="1:11" x14ac:dyDescent="0.3">
      <c r="A29" s="3">
        <v>23</v>
      </c>
      <c r="B29" s="4" t="s">
        <v>42</v>
      </c>
      <c r="C29" s="5" t="s">
        <v>28</v>
      </c>
      <c r="D29" s="6">
        <v>41626</v>
      </c>
      <c r="E29" s="7">
        <v>3507</v>
      </c>
      <c r="F29" s="8">
        <v>26232425</v>
      </c>
      <c r="G29" s="9">
        <v>41690</v>
      </c>
      <c r="H29" s="7">
        <v>3507</v>
      </c>
      <c r="I29" s="8">
        <v>125168368</v>
      </c>
    </row>
    <row r="30" spans="1:11" x14ac:dyDescent="0.3">
      <c r="A30" s="3">
        <v>24</v>
      </c>
      <c r="B30" s="4" t="s">
        <v>43</v>
      </c>
      <c r="C30" s="5" t="s">
        <v>19</v>
      </c>
      <c r="D30" s="6">
        <v>41633</v>
      </c>
      <c r="E30" s="7">
        <v>2</v>
      </c>
      <c r="F30" s="8">
        <v>90872</v>
      </c>
      <c r="G30" s="9">
        <v>41739</v>
      </c>
      <c r="H30" s="7">
        <v>3285</v>
      </c>
      <c r="I30" s="8">
        <v>125095601</v>
      </c>
    </row>
    <row r="31" spans="1:11" x14ac:dyDescent="0.3">
      <c r="A31" s="3">
        <v>25</v>
      </c>
      <c r="B31" s="4" t="s">
        <v>44</v>
      </c>
      <c r="C31" s="5" t="s">
        <v>28</v>
      </c>
      <c r="D31" s="6">
        <v>41361</v>
      </c>
      <c r="E31" s="7">
        <v>3719</v>
      </c>
      <c r="F31" s="8">
        <v>40501814</v>
      </c>
      <c r="G31" s="9">
        <v>41473</v>
      </c>
      <c r="H31" s="7">
        <v>3734</v>
      </c>
      <c r="I31" s="8">
        <v>122523060</v>
      </c>
    </row>
    <row r="32" spans="1:11" x14ac:dyDescent="0.3">
      <c r="A32" s="3">
        <v>26</v>
      </c>
      <c r="B32" s="4" t="s">
        <v>45</v>
      </c>
      <c r="C32" s="5" t="s">
        <v>36</v>
      </c>
      <c r="D32" s="6">
        <v>41544</v>
      </c>
      <c r="E32" s="7">
        <v>4001</v>
      </c>
      <c r="F32" s="8">
        <v>34017930</v>
      </c>
      <c r="G32" s="9">
        <v>41714</v>
      </c>
      <c r="H32" s="7">
        <v>4001</v>
      </c>
      <c r="I32" s="8">
        <v>119793567</v>
      </c>
    </row>
    <row r="33" spans="1:9" x14ac:dyDescent="0.3">
      <c r="A33" s="3">
        <v>27</v>
      </c>
      <c r="B33" s="4" t="s">
        <v>46</v>
      </c>
      <c r="C33" s="5" t="s">
        <v>47</v>
      </c>
      <c r="D33" s="6">
        <v>41425</v>
      </c>
      <c r="E33" s="7">
        <v>2925</v>
      </c>
      <c r="F33" s="8">
        <v>29350389</v>
      </c>
      <c r="G33" s="9">
        <v>41543</v>
      </c>
      <c r="H33" s="7">
        <v>3082</v>
      </c>
      <c r="I33" s="8">
        <v>117723989</v>
      </c>
    </row>
    <row r="34" spans="1:9" x14ac:dyDescent="0.3">
      <c r="A34" s="3">
        <v>28</v>
      </c>
      <c r="B34" s="4" t="s">
        <v>48</v>
      </c>
      <c r="C34" s="5" t="s">
        <v>28</v>
      </c>
      <c r="D34" s="6">
        <v>41633</v>
      </c>
      <c r="E34" s="7">
        <v>2537</v>
      </c>
      <c r="F34" s="8">
        <v>18361578</v>
      </c>
      <c r="G34" s="9">
        <v>41732</v>
      </c>
      <c r="H34" s="7">
        <v>2557</v>
      </c>
      <c r="I34" s="8">
        <v>116900694</v>
      </c>
    </row>
    <row r="35" spans="1:9" x14ac:dyDescent="0.3">
      <c r="A35" s="3">
        <v>29</v>
      </c>
      <c r="B35" s="4" t="s">
        <v>49</v>
      </c>
      <c r="C35" s="5" t="s">
        <v>50</v>
      </c>
      <c r="D35" s="6">
        <v>41502</v>
      </c>
      <c r="E35" s="7">
        <v>2933</v>
      </c>
      <c r="F35" s="8">
        <v>24637312</v>
      </c>
      <c r="G35" s="9">
        <v>41683</v>
      </c>
      <c r="H35" s="7">
        <v>3330</v>
      </c>
      <c r="I35" s="8">
        <v>116632095</v>
      </c>
    </row>
    <row r="36" spans="1:9" x14ac:dyDescent="0.3">
      <c r="A36" s="3">
        <v>30</v>
      </c>
      <c r="B36" s="4" t="s">
        <v>51</v>
      </c>
      <c r="C36" s="5" t="s">
        <v>21</v>
      </c>
      <c r="D36" s="6">
        <v>41417</v>
      </c>
      <c r="E36" s="7">
        <v>3555</v>
      </c>
      <c r="F36" s="8">
        <v>41671198</v>
      </c>
      <c r="G36" s="9">
        <v>41501</v>
      </c>
      <c r="H36" s="7">
        <v>3565</v>
      </c>
      <c r="I36" s="8">
        <v>112200072</v>
      </c>
    </row>
    <row r="37" spans="1:9" x14ac:dyDescent="0.3">
      <c r="A37" s="3">
        <v>31</v>
      </c>
      <c r="B37" s="4" t="s">
        <v>52</v>
      </c>
      <c r="C37" s="5" t="s">
        <v>32</v>
      </c>
      <c r="D37" s="6">
        <v>41418</v>
      </c>
      <c r="E37" s="7">
        <v>3882</v>
      </c>
      <c r="F37" s="8">
        <v>33531068</v>
      </c>
      <c r="G37" s="9">
        <v>41536</v>
      </c>
      <c r="H37" s="7">
        <v>3894</v>
      </c>
      <c r="I37" s="8">
        <v>107518682</v>
      </c>
    </row>
    <row r="38" spans="1:9" x14ac:dyDescent="0.3">
      <c r="A38" s="3">
        <v>32</v>
      </c>
      <c r="B38" s="4" t="s">
        <v>53</v>
      </c>
      <c r="C38" s="5" t="s">
        <v>36</v>
      </c>
      <c r="D38" s="6">
        <v>41558</v>
      </c>
      <c r="E38" s="7">
        <v>3020</v>
      </c>
      <c r="F38" s="8">
        <v>25718314</v>
      </c>
      <c r="G38" s="9">
        <v>41700</v>
      </c>
      <c r="H38" s="7">
        <v>3143</v>
      </c>
      <c r="I38" s="8">
        <v>107100855</v>
      </c>
    </row>
    <row r="39" spans="1:9" x14ac:dyDescent="0.3">
      <c r="A39" s="3">
        <v>33</v>
      </c>
      <c r="B39" s="4" t="s">
        <v>54</v>
      </c>
      <c r="C39" s="5" t="s">
        <v>28</v>
      </c>
      <c r="D39" s="6">
        <v>41572</v>
      </c>
      <c r="E39" s="7">
        <v>3336</v>
      </c>
      <c r="F39" s="8">
        <v>32055177</v>
      </c>
      <c r="G39" s="9">
        <v>41662</v>
      </c>
      <c r="H39" s="7">
        <v>3345</v>
      </c>
      <c r="I39" s="8">
        <v>102003019</v>
      </c>
    </row>
    <row r="40" spans="1:9" x14ac:dyDescent="0.3">
      <c r="A40" s="3">
        <v>34</v>
      </c>
      <c r="B40" s="4" t="s">
        <v>55</v>
      </c>
      <c r="C40" s="5" t="s">
        <v>21</v>
      </c>
      <c r="D40" s="6">
        <v>41467</v>
      </c>
      <c r="E40" s="7">
        <v>3275</v>
      </c>
      <c r="F40" s="8">
        <v>37285325</v>
      </c>
      <c r="G40" s="9">
        <v>41564</v>
      </c>
      <c r="H40" s="7">
        <v>3285</v>
      </c>
      <c r="I40" s="8">
        <v>101802906</v>
      </c>
    </row>
    <row r="41" spans="1:9" x14ac:dyDescent="0.3">
      <c r="A41" s="3">
        <v>35</v>
      </c>
      <c r="B41" s="4" t="s">
        <v>56</v>
      </c>
      <c r="C41" s="5" t="s">
        <v>36</v>
      </c>
      <c r="D41" s="6">
        <v>41437</v>
      </c>
      <c r="E41" s="7">
        <v>3055</v>
      </c>
      <c r="F41" s="8">
        <v>20719162</v>
      </c>
      <c r="G41" s="9">
        <v>41553</v>
      </c>
      <c r="H41" s="7">
        <v>3055</v>
      </c>
      <c r="I41" s="8">
        <v>101470202</v>
      </c>
    </row>
    <row r="42" spans="1:9" x14ac:dyDescent="0.3">
      <c r="A42" s="3">
        <v>36</v>
      </c>
      <c r="B42" s="4" t="s">
        <v>57</v>
      </c>
      <c r="C42" s="5" t="s">
        <v>58</v>
      </c>
      <c r="D42" s="6">
        <v>41355</v>
      </c>
      <c r="E42" s="7">
        <v>3098</v>
      </c>
      <c r="F42" s="8">
        <v>30373794</v>
      </c>
      <c r="G42" s="9">
        <v>41466</v>
      </c>
      <c r="H42" s="7">
        <v>3106</v>
      </c>
      <c r="I42" s="8">
        <v>98925640</v>
      </c>
    </row>
    <row r="43" spans="1:9" x14ac:dyDescent="0.3">
      <c r="A43" s="3">
        <v>37</v>
      </c>
      <c r="B43" s="4">
        <v>42</v>
      </c>
      <c r="C43" s="5" t="s">
        <v>21</v>
      </c>
      <c r="D43" s="6">
        <v>41376</v>
      </c>
      <c r="E43" s="7">
        <v>3003</v>
      </c>
      <c r="F43" s="8">
        <v>27487144</v>
      </c>
      <c r="G43" s="9">
        <v>41480</v>
      </c>
      <c r="H43" s="7">
        <v>3405</v>
      </c>
      <c r="I43" s="8">
        <v>95020213</v>
      </c>
    </row>
    <row r="44" spans="1:9" x14ac:dyDescent="0.3">
      <c r="A44" s="3">
        <v>38</v>
      </c>
      <c r="B44" s="4" t="s">
        <v>59</v>
      </c>
      <c r="C44" s="5" t="s">
        <v>60</v>
      </c>
      <c r="D44" s="6">
        <v>41495</v>
      </c>
      <c r="E44" s="7">
        <v>3284</v>
      </c>
      <c r="F44" s="8">
        <v>29807393</v>
      </c>
      <c r="G44" s="9">
        <v>41602</v>
      </c>
      <c r="H44" s="7">
        <v>3284</v>
      </c>
      <c r="I44" s="8">
        <v>93050117</v>
      </c>
    </row>
    <row r="45" spans="1:9" x14ac:dyDescent="0.3">
      <c r="A45" s="3">
        <v>39</v>
      </c>
      <c r="B45" s="4" t="s">
        <v>61</v>
      </c>
      <c r="C45" s="5" t="s">
        <v>16</v>
      </c>
      <c r="D45" s="6">
        <v>41495</v>
      </c>
      <c r="E45" s="7">
        <v>3702</v>
      </c>
      <c r="F45" s="8">
        <v>22232291</v>
      </c>
      <c r="G45" s="9">
        <v>41627</v>
      </c>
      <c r="H45" s="7">
        <v>3716</v>
      </c>
      <c r="I45" s="8">
        <v>90288712</v>
      </c>
    </row>
    <row r="46" spans="1:9" x14ac:dyDescent="0.3">
      <c r="A46" s="3">
        <v>40</v>
      </c>
      <c r="B46" s="4" t="s">
        <v>62</v>
      </c>
      <c r="C46" s="5" t="s">
        <v>16</v>
      </c>
      <c r="D46" s="6">
        <v>41458</v>
      </c>
      <c r="E46" s="7">
        <v>3904</v>
      </c>
      <c r="F46" s="8">
        <v>29210849</v>
      </c>
      <c r="G46" s="9">
        <v>41557</v>
      </c>
      <c r="H46" s="7">
        <v>3904</v>
      </c>
      <c r="I46" s="8">
        <v>89302115</v>
      </c>
    </row>
    <row r="47" spans="1:9" x14ac:dyDescent="0.3">
      <c r="A47" s="3">
        <v>41</v>
      </c>
      <c r="B47" s="4" t="s">
        <v>63</v>
      </c>
      <c r="C47" s="5" t="s">
        <v>19</v>
      </c>
      <c r="D47" s="6">
        <v>41383</v>
      </c>
      <c r="E47" s="7">
        <v>3783</v>
      </c>
      <c r="F47" s="8">
        <v>37054485</v>
      </c>
      <c r="G47" s="9">
        <v>41452</v>
      </c>
      <c r="H47" s="7">
        <v>3792</v>
      </c>
      <c r="I47" s="8">
        <v>89107235</v>
      </c>
    </row>
    <row r="48" spans="1:9" x14ac:dyDescent="0.3">
      <c r="A48" s="3">
        <v>42</v>
      </c>
      <c r="B48" s="4" t="s">
        <v>64</v>
      </c>
      <c r="C48" s="5" t="s">
        <v>58</v>
      </c>
      <c r="D48" s="6">
        <v>41530</v>
      </c>
      <c r="E48" s="7">
        <v>3049</v>
      </c>
      <c r="F48" s="8">
        <v>40272103</v>
      </c>
      <c r="G48" s="9">
        <v>41627</v>
      </c>
      <c r="H48" s="7">
        <v>3155</v>
      </c>
      <c r="I48" s="8">
        <v>83586447</v>
      </c>
    </row>
    <row r="49" spans="1:9" x14ac:dyDescent="0.3">
      <c r="A49" s="3">
        <v>43</v>
      </c>
      <c r="B49" s="4" t="s">
        <v>65</v>
      </c>
      <c r="C49" s="5" t="s">
        <v>16</v>
      </c>
      <c r="D49" s="6">
        <v>41621</v>
      </c>
      <c r="E49" s="7">
        <v>15</v>
      </c>
      <c r="F49" s="8">
        <v>413373</v>
      </c>
      <c r="G49" s="9">
        <v>41746</v>
      </c>
      <c r="H49" s="7">
        <v>2671</v>
      </c>
      <c r="I49" s="8">
        <v>83301580</v>
      </c>
    </row>
    <row r="50" spans="1:9" x14ac:dyDescent="0.3">
      <c r="A50" s="3">
        <v>44</v>
      </c>
      <c r="B50" s="4" t="s">
        <v>66</v>
      </c>
      <c r="C50" s="5" t="s">
        <v>32</v>
      </c>
      <c r="D50" s="6">
        <v>41472</v>
      </c>
      <c r="E50" s="7">
        <v>3806</v>
      </c>
      <c r="F50" s="8">
        <v>21312625</v>
      </c>
      <c r="G50" s="9">
        <v>41620</v>
      </c>
      <c r="H50" s="7">
        <v>3809</v>
      </c>
      <c r="I50" s="8">
        <v>83028128</v>
      </c>
    </row>
    <row r="51" spans="1:9" x14ac:dyDescent="0.3">
      <c r="A51" s="3">
        <v>45</v>
      </c>
      <c r="B51" s="4" t="s">
        <v>67</v>
      </c>
      <c r="C51" s="5" t="s">
        <v>19</v>
      </c>
      <c r="D51" s="6">
        <v>41488</v>
      </c>
      <c r="E51" s="7">
        <v>3025</v>
      </c>
      <c r="F51" s="8">
        <v>27059130</v>
      </c>
      <c r="G51" s="9">
        <v>41571</v>
      </c>
      <c r="H51" s="7">
        <v>3028</v>
      </c>
      <c r="I51" s="8">
        <v>75612460</v>
      </c>
    </row>
    <row r="52" spans="1:9" x14ac:dyDescent="0.3">
      <c r="A52" s="3">
        <v>46</v>
      </c>
      <c r="B52" s="4" t="s">
        <v>68</v>
      </c>
      <c r="C52" s="5" t="s">
        <v>36</v>
      </c>
      <c r="D52" s="6">
        <v>41453</v>
      </c>
      <c r="E52" s="7">
        <v>3222</v>
      </c>
      <c r="F52" s="8">
        <v>24852258</v>
      </c>
      <c r="G52" s="9">
        <v>41532</v>
      </c>
      <c r="H52" s="7">
        <v>3222</v>
      </c>
      <c r="I52" s="8">
        <v>73103784</v>
      </c>
    </row>
    <row r="53" spans="1:9" x14ac:dyDescent="0.3">
      <c r="A53" s="3">
        <v>47</v>
      </c>
      <c r="B53" s="4" t="s">
        <v>69</v>
      </c>
      <c r="C53" s="5" t="s">
        <v>19</v>
      </c>
      <c r="D53" s="6">
        <v>41292</v>
      </c>
      <c r="E53" s="7">
        <v>2647</v>
      </c>
      <c r="F53" s="8">
        <v>28402310</v>
      </c>
      <c r="G53" s="9">
        <v>41368</v>
      </c>
      <c r="H53" s="7">
        <v>2781</v>
      </c>
      <c r="I53" s="8">
        <v>71628180</v>
      </c>
    </row>
    <row r="54" spans="1:9" x14ac:dyDescent="0.3">
      <c r="A54" s="3">
        <v>48</v>
      </c>
      <c r="B54" s="4" t="s">
        <v>70</v>
      </c>
      <c r="C54" s="5" t="s">
        <v>71</v>
      </c>
      <c r="D54" s="6">
        <v>41319</v>
      </c>
      <c r="E54" s="7">
        <v>3223</v>
      </c>
      <c r="F54" s="8">
        <v>21401594</v>
      </c>
      <c r="G54" s="9">
        <v>41424</v>
      </c>
      <c r="H54" s="7">
        <v>3223</v>
      </c>
      <c r="I54" s="8">
        <v>71349120</v>
      </c>
    </row>
    <row r="55" spans="1:9" x14ac:dyDescent="0.3">
      <c r="A55" s="3">
        <v>49</v>
      </c>
      <c r="B55" s="4" t="s">
        <v>72</v>
      </c>
      <c r="C55" s="5" t="s">
        <v>36</v>
      </c>
      <c r="D55" s="6">
        <v>41486</v>
      </c>
      <c r="E55" s="7">
        <v>3866</v>
      </c>
      <c r="F55" s="8">
        <v>17548389</v>
      </c>
      <c r="G55" s="9">
        <v>41595</v>
      </c>
      <c r="H55" s="7">
        <v>3867</v>
      </c>
      <c r="I55" s="8">
        <v>71017784</v>
      </c>
    </row>
    <row r="56" spans="1:9" x14ac:dyDescent="0.3">
      <c r="A56" s="3">
        <v>50</v>
      </c>
      <c r="B56" s="4" t="s">
        <v>73</v>
      </c>
      <c r="C56" s="5" t="s">
        <v>19</v>
      </c>
      <c r="D56" s="6">
        <v>41593</v>
      </c>
      <c r="E56" s="7">
        <v>2024</v>
      </c>
      <c r="F56" s="8">
        <v>30107555</v>
      </c>
      <c r="G56" s="9">
        <v>41648</v>
      </c>
      <c r="H56" s="7">
        <v>2041</v>
      </c>
      <c r="I56" s="8">
        <v>70525195</v>
      </c>
    </row>
    <row r="57" spans="1:9" x14ac:dyDescent="0.3">
      <c r="A57" s="3">
        <v>51</v>
      </c>
      <c r="B57" s="4" t="s">
        <v>74</v>
      </c>
      <c r="C57" s="5" t="s">
        <v>32</v>
      </c>
      <c r="D57" s="6">
        <v>41493</v>
      </c>
      <c r="E57" s="7">
        <v>3031</v>
      </c>
      <c r="F57" s="8">
        <v>14401054</v>
      </c>
      <c r="G57" s="9">
        <v>41669</v>
      </c>
      <c r="H57" s="7">
        <v>3080</v>
      </c>
      <c r="I57" s="8">
        <v>68559554</v>
      </c>
    </row>
    <row r="58" spans="1:9" x14ac:dyDescent="0.3">
      <c r="A58" s="3">
        <v>52</v>
      </c>
      <c r="B58" s="4" t="s">
        <v>75</v>
      </c>
      <c r="C58" s="5" t="s">
        <v>32</v>
      </c>
      <c r="D58" s="6">
        <v>41319</v>
      </c>
      <c r="E58" s="7">
        <v>3553</v>
      </c>
      <c r="F58" s="8">
        <v>24834845</v>
      </c>
      <c r="G58" s="9">
        <v>41417</v>
      </c>
      <c r="H58" s="7">
        <v>3555</v>
      </c>
      <c r="I58" s="8">
        <v>67349198</v>
      </c>
    </row>
    <row r="59" spans="1:9" x14ac:dyDescent="0.3">
      <c r="A59" s="3">
        <v>53</v>
      </c>
      <c r="B59" s="4" t="s">
        <v>76</v>
      </c>
      <c r="C59" s="5" t="s">
        <v>47</v>
      </c>
      <c r="D59" s="6">
        <v>41306</v>
      </c>
      <c r="E59" s="7">
        <v>3009</v>
      </c>
      <c r="F59" s="8">
        <v>20353967</v>
      </c>
      <c r="G59" s="9">
        <v>41403</v>
      </c>
      <c r="H59" s="7">
        <v>3009</v>
      </c>
      <c r="I59" s="8">
        <v>66380662</v>
      </c>
    </row>
    <row r="60" spans="1:9" x14ac:dyDescent="0.3">
      <c r="A60" s="3">
        <v>54</v>
      </c>
      <c r="B60" s="4" t="s">
        <v>77</v>
      </c>
      <c r="C60" s="5" t="s">
        <v>78</v>
      </c>
      <c r="D60" s="6">
        <v>41334</v>
      </c>
      <c r="E60" s="7">
        <v>3525</v>
      </c>
      <c r="F60" s="8">
        <v>27202226</v>
      </c>
      <c r="G60" s="9">
        <v>41438</v>
      </c>
      <c r="H60" s="7">
        <v>3525</v>
      </c>
      <c r="I60" s="8">
        <v>65187603</v>
      </c>
    </row>
    <row r="61" spans="1:9" x14ac:dyDescent="0.3">
      <c r="A61" s="3">
        <v>55</v>
      </c>
      <c r="B61" s="4" t="s">
        <v>79</v>
      </c>
      <c r="C61" s="5" t="s">
        <v>19</v>
      </c>
      <c r="D61" s="6">
        <v>41432</v>
      </c>
      <c r="E61" s="7">
        <v>2536</v>
      </c>
      <c r="F61" s="8">
        <v>34058360</v>
      </c>
      <c r="G61" s="9">
        <v>41494</v>
      </c>
      <c r="H61" s="7">
        <v>2591</v>
      </c>
      <c r="I61" s="8">
        <v>64473115</v>
      </c>
    </row>
    <row r="62" spans="1:9" x14ac:dyDescent="0.3">
      <c r="A62" s="3">
        <v>56</v>
      </c>
      <c r="B62" s="4" t="s">
        <v>80</v>
      </c>
      <c r="C62" s="5" t="s">
        <v>81</v>
      </c>
      <c r="D62" s="6">
        <v>41579</v>
      </c>
      <c r="E62" s="7">
        <v>3065</v>
      </c>
      <c r="F62" s="8">
        <v>16334566</v>
      </c>
      <c r="G62" s="9">
        <v>41690</v>
      </c>
      <c r="H62" s="7">
        <v>3237</v>
      </c>
      <c r="I62" s="8">
        <v>63914167</v>
      </c>
    </row>
    <row r="63" spans="1:9" x14ac:dyDescent="0.3">
      <c r="A63" s="3">
        <v>57</v>
      </c>
      <c r="B63" s="4" t="s">
        <v>82</v>
      </c>
      <c r="C63" s="5" t="s">
        <v>47</v>
      </c>
      <c r="D63" s="6">
        <v>41579</v>
      </c>
      <c r="E63" s="7">
        <v>3407</v>
      </c>
      <c r="F63" s="8">
        <v>27017351</v>
      </c>
      <c r="G63" s="9">
        <v>41648</v>
      </c>
      <c r="H63" s="7">
        <v>3407</v>
      </c>
      <c r="I63" s="8">
        <v>61737191</v>
      </c>
    </row>
    <row r="64" spans="1:9" x14ac:dyDescent="0.3">
      <c r="A64" s="3">
        <v>58</v>
      </c>
      <c r="B64" s="4" t="s">
        <v>83</v>
      </c>
      <c r="C64" s="5" t="s">
        <v>21</v>
      </c>
      <c r="D64" s="6">
        <v>41537</v>
      </c>
      <c r="E64" s="7">
        <v>3260</v>
      </c>
      <c r="F64" s="8">
        <v>20817053</v>
      </c>
      <c r="G64" s="9">
        <v>41613</v>
      </c>
      <c r="H64" s="7">
        <v>3290</v>
      </c>
      <c r="I64" s="8">
        <v>61002302</v>
      </c>
    </row>
    <row r="65" spans="1:9" x14ac:dyDescent="0.3">
      <c r="A65" s="3">
        <v>59</v>
      </c>
      <c r="B65" s="4" t="s">
        <v>84</v>
      </c>
      <c r="C65" s="5" t="s">
        <v>36</v>
      </c>
      <c r="D65" s="6">
        <v>41425</v>
      </c>
      <c r="E65" s="7">
        <v>3401</v>
      </c>
      <c r="F65" s="8">
        <v>27520040</v>
      </c>
      <c r="G65" s="9">
        <v>41504</v>
      </c>
      <c r="H65" s="7">
        <v>3401</v>
      </c>
      <c r="I65" s="8">
        <v>60522097</v>
      </c>
    </row>
    <row r="66" spans="1:9" x14ac:dyDescent="0.3">
      <c r="A66" s="3">
        <v>60</v>
      </c>
      <c r="B66" s="4" t="s">
        <v>85</v>
      </c>
      <c r="C66" s="5" t="s">
        <v>32</v>
      </c>
      <c r="D66" s="6">
        <v>41633</v>
      </c>
      <c r="E66" s="7">
        <v>2909</v>
      </c>
      <c r="F66" s="8">
        <v>12765508</v>
      </c>
      <c r="G66" s="9">
        <v>41739</v>
      </c>
      <c r="H66" s="7">
        <v>2922</v>
      </c>
      <c r="I66" s="8">
        <v>58236838</v>
      </c>
    </row>
    <row r="67" spans="1:9" x14ac:dyDescent="0.3">
      <c r="A67" s="3">
        <v>61</v>
      </c>
      <c r="B67" s="4" t="s">
        <v>86</v>
      </c>
      <c r="C67" s="5" t="s">
        <v>50</v>
      </c>
      <c r="D67" s="6">
        <v>41320</v>
      </c>
      <c r="E67" s="7">
        <v>3288</v>
      </c>
      <c r="F67" s="8">
        <v>15891055</v>
      </c>
      <c r="G67" s="9">
        <v>41480</v>
      </c>
      <c r="H67" s="7">
        <v>3353</v>
      </c>
      <c r="I67" s="8">
        <v>57012977</v>
      </c>
    </row>
    <row r="68" spans="1:9" x14ac:dyDescent="0.3">
      <c r="A68" s="3">
        <v>62</v>
      </c>
      <c r="B68" s="4" t="s">
        <v>87</v>
      </c>
      <c r="C68" s="5" t="s">
        <v>88</v>
      </c>
      <c r="D68" s="6">
        <v>41565</v>
      </c>
      <c r="E68" s="7">
        <v>19</v>
      </c>
      <c r="F68" s="8">
        <v>923715</v>
      </c>
      <c r="G68" s="9">
        <v>41767</v>
      </c>
      <c r="H68" s="7">
        <v>1474</v>
      </c>
      <c r="I68" s="8">
        <v>56671993</v>
      </c>
    </row>
    <row r="69" spans="1:9" x14ac:dyDescent="0.3">
      <c r="A69" s="3">
        <v>63</v>
      </c>
      <c r="B69" s="4" t="s">
        <v>89</v>
      </c>
      <c r="C69" s="5" t="s">
        <v>71</v>
      </c>
      <c r="D69" s="6">
        <v>41579</v>
      </c>
      <c r="E69" s="7">
        <v>3736</v>
      </c>
      <c r="F69" s="8">
        <v>15805237</v>
      </c>
      <c r="G69" s="9">
        <v>41718</v>
      </c>
      <c r="H69" s="7">
        <v>3736</v>
      </c>
      <c r="I69" s="8">
        <v>55750480</v>
      </c>
    </row>
    <row r="70" spans="1:9" x14ac:dyDescent="0.3">
      <c r="A70" s="3">
        <v>64</v>
      </c>
      <c r="B70" s="4" t="s">
        <v>90</v>
      </c>
      <c r="C70" s="5" t="s">
        <v>28</v>
      </c>
      <c r="D70" s="6">
        <v>41299</v>
      </c>
      <c r="E70" s="7">
        <v>3372</v>
      </c>
      <c r="F70" s="8">
        <v>19690956</v>
      </c>
      <c r="G70" s="9">
        <v>41389</v>
      </c>
      <c r="H70" s="7">
        <v>3375</v>
      </c>
      <c r="I70" s="8">
        <v>55703475</v>
      </c>
    </row>
    <row r="71" spans="1:9" x14ac:dyDescent="0.3">
      <c r="A71" s="3">
        <v>65</v>
      </c>
      <c r="B71" s="4" t="s">
        <v>91</v>
      </c>
      <c r="C71" s="5" t="s">
        <v>60</v>
      </c>
      <c r="D71" s="6">
        <v>41369</v>
      </c>
      <c r="E71" s="7">
        <v>3025</v>
      </c>
      <c r="F71" s="8">
        <v>25775847</v>
      </c>
      <c r="G71" s="9">
        <v>41434</v>
      </c>
      <c r="H71" s="7">
        <v>3025</v>
      </c>
      <c r="I71" s="8">
        <v>54239856</v>
      </c>
    </row>
    <row r="72" spans="1:9" x14ac:dyDescent="0.3">
      <c r="A72" s="3">
        <v>66</v>
      </c>
      <c r="B72" s="4" t="s">
        <v>92</v>
      </c>
      <c r="C72" s="5" t="s">
        <v>47</v>
      </c>
      <c r="D72" s="6">
        <v>41474</v>
      </c>
      <c r="E72" s="7">
        <v>3016</v>
      </c>
      <c r="F72" s="8">
        <v>18048422</v>
      </c>
      <c r="G72" s="9">
        <v>41564</v>
      </c>
      <c r="H72" s="7">
        <v>3016</v>
      </c>
      <c r="I72" s="8">
        <v>53262560</v>
      </c>
    </row>
    <row r="73" spans="1:9" x14ac:dyDescent="0.3">
      <c r="A73" s="3">
        <v>67</v>
      </c>
      <c r="B73" s="4" t="s">
        <v>93</v>
      </c>
      <c r="C73" s="5" t="s">
        <v>14</v>
      </c>
      <c r="D73" s="6">
        <v>41621</v>
      </c>
      <c r="E73" s="7">
        <v>2194</v>
      </c>
      <c r="F73" s="8">
        <v>16007634</v>
      </c>
      <c r="G73" s="9">
        <v>41683</v>
      </c>
      <c r="H73" s="7">
        <v>2194</v>
      </c>
      <c r="I73" s="8">
        <v>52543354</v>
      </c>
    </row>
    <row r="74" spans="1:9" ht="31.2" x14ac:dyDescent="0.3">
      <c r="A74" s="3">
        <v>68</v>
      </c>
      <c r="B74" s="4" t="s">
        <v>94</v>
      </c>
      <c r="C74" s="5" t="s">
        <v>14</v>
      </c>
      <c r="D74" s="6">
        <v>41362</v>
      </c>
      <c r="E74" s="7">
        <v>2047</v>
      </c>
      <c r="F74" s="8">
        <v>21641679</v>
      </c>
      <c r="G74" s="9">
        <v>41424</v>
      </c>
      <c r="H74" s="7">
        <v>2047</v>
      </c>
      <c r="I74" s="8">
        <v>51975354</v>
      </c>
    </row>
    <row r="75" spans="1:9" x14ac:dyDescent="0.3">
      <c r="A75" s="3">
        <v>69</v>
      </c>
      <c r="B75" s="4" t="s">
        <v>95</v>
      </c>
      <c r="C75" s="5" t="s">
        <v>60</v>
      </c>
      <c r="D75" s="6">
        <v>41348</v>
      </c>
      <c r="E75" s="7">
        <v>2507</v>
      </c>
      <c r="F75" s="8">
        <v>17118745</v>
      </c>
      <c r="G75" s="9">
        <v>41434</v>
      </c>
      <c r="H75" s="7">
        <v>2507</v>
      </c>
      <c r="I75" s="8">
        <v>51872378</v>
      </c>
    </row>
    <row r="76" spans="1:9" x14ac:dyDescent="0.3">
      <c r="A76" s="3">
        <v>70</v>
      </c>
      <c r="B76" s="4" t="s">
        <v>96</v>
      </c>
      <c r="C76" s="5" t="s">
        <v>28</v>
      </c>
      <c r="D76" s="6">
        <v>41390</v>
      </c>
      <c r="E76" s="7">
        <v>3277</v>
      </c>
      <c r="F76" s="8">
        <v>20244505</v>
      </c>
      <c r="G76" s="9">
        <v>41515</v>
      </c>
      <c r="H76" s="7">
        <v>3303</v>
      </c>
      <c r="I76" s="8">
        <v>49875291</v>
      </c>
    </row>
    <row r="77" spans="1:9" x14ac:dyDescent="0.3">
      <c r="A77" s="3">
        <v>71</v>
      </c>
      <c r="B77" s="4" t="s">
        <v>97</v>
      </c>
      <c r="C77" s="5" t="s">
        <v>21</v>
      </c>
      <c r="D77" s="6">
        <v>41285</v>
      </c>
      <c r="E77" s="7">
        <v>3103</v>
      </c>
      <c r="F77" s="8">
        <v>17070347</v>
      </c>
      <c r="G77" s="9">
        <v>41368</v>
      </c>
      <c r="H77" s="7">
        <v>3103</v>
      </c>
      <c r="I77" s="8">
        <v>46000903</v>
      </c>
    </row>
    <row r="78" spans="1:9" x14ac:dyDescent="0.3">
      <c r="A78" s="3">
        <v>72</v>
      </c>
      <c r="B78" s="4" t="s">
        <v>98</v>
      </c>
      <c r="C78" s="5" t="s">
        <v>19</v>
      </c>
      <c r="D78" s="6">
        <v>41369</v>
      </c>
      <c r="E78" s="7">
        <v>2771</v>
      </c>
      <c r="F78" s="8">
        <v>18620145</v>
      </c>
      <c r="G78" s="9">
        <v>41417</v>
      </c>
      <c r="H78" s="7">
        <v>2778</v>
      </c>
      <c r="I78" s="8">
        <v>45385935</v>
      </c>
    </row>
    <row r="79" spans="1:9" x14ac:dyDescent="0.3">
      <c r="A79" s="3">
        <v>73</v>
      </c>
      <c r="B79" s="4" t="s">
        <v>99</v>
      </c>
      <c r="C79" s="5" t="s">
        <v>32</v>
      </c>
      <c r="D79" s="6">
        <v>41432</v>
      </c>
      <c r="E79" s="7">
        <v>3366</v>
      </c>
      <c r="F79" s="8">
        <v>17325307</v>
      </c>
      <c r="G79" s="9">
        <v>41529</v>
      </c>
      <c r="H79" s="7">
        <v>3399</v>
      </c>
      <c r="I79" s="8">
        <v>44672764</v>
      </c>
    </row>
    <row r="80" spans="1:9" x14ac:dyDescent="0.3">
      <c r="A80" s="3">
        <v>74</v>
      </c>
      <c r="B80" s="4" t="s">
        <v>100</v>
      </c>
      <c r="C80" s="5" t="s">
        <v>14</v>
      </c>
      <c r="D80" s="6">
        <v>41516</v>
      </c>
      <c r="E80" s="7">
        <v>348</v>
      </c>
      <c r="F80" s="8">
        <v>7846426</v>
      </c>
      <c r="G80" s="9">
        <v>41620</v>
      </c>
      <c r="H80" s="7">
        <v>978</v>
      </c>
      <c r="I80" s="8">
        <v>44467206</v>
      </c>
    </row>
    <row r="81" spans="1:9" x14ac:dyDescent="0.3">
      <c r="A81" s="3">
        <v>75</v>
      </c>
      <c r="B81" s="4" t="s">
        <v>101</v>
      </c>
      <c r="C81" s="5" t="s">
        <v>47</v>
      </c>
      <c r="D81" s="6">
        <v>41327</v>
      </c>
      <c r="E81" s="7">
        <v>2511</v>
      </c>
      <c r="F81" s="8">
        <v>13167607</v>
      </c>
      <c r="G81" s="9">
        <v>41424</v>
      </c>
      <c r="H81" s="7">
        <v>2511</v>
      </c>
      <c r="I81" s="8">
        <v>42930462</v>
      </c>
    </row>
    <row r="82" spans="1:9" x14ac:dyDescent="0.3">
      <c r="A82" s="3">
        <v>76</v>
      </c>
      <c r="B82" s="4" t="s">
        <v>102</v>
      </c>
      <c r="C82" s="5" t="s">
        <v>19</v>
      </c>
      <c r="D82" s="6">
        <v>41523</v>
      </c>
      <c r="E82" s="7">
        <v>3107</v>
      </c>
      <c r="F82" s="8">
        <v>19030375</v>
      </c>
      <c r="G82" s="9">
        <v>41578</v>
      </c>
      <c r="H82" s="7">
        <v>3117</v>
      </c>
      <c r="I82" s="8">
        <v>42025135</v>
      </c>
    </row>
    <row r="83" spans="1:9" x14ac:dyDescent="0.3">
      <c r="A83" s="3">
        <v>77</v>
      </c>
      <c r="B83" s="4" t="s">
        <v>103</v>
      </c>
      <c r="C83" s="5" t="s">
        <v>104</v>
      </c>
      <c r="D83" s="6">
        <v>41285</v>
      </c>
      <c r="E83" s="7">
        <v>2160</v>
      </c>
      <c r="F83" s="8">
        <v>18101682</v>
      </c>
      <c r="G83" s="9">
        <v>41336</v>
      </c>
      <c r="H83" s="7">
        <v>2160</v>
      </c>
      <c r="I83" s="8">
        <v>40041683</v>
      </c>
    </row>
    <row r="84" spans="1:9" x14ac:dyDescent="0.3">
      <c r="A84" s="3">
        <v>78</v>
      </c>
      <c r="B84" s="4" t="s">
        <v>105</v>
      </c>
      <c r="C84" s="5" t="s">
        <v>19</v>
      </c>
      <c r="D84" s="6">
        <v>41633</v>
      </c>
      <c r="E84" s="7">
        <v>2689</v>
      </c>
      <c r="F84" s="8">
        <v>9910310</v>
      </c>
      <c r="G84" s="9">
        <v>41676</v>
      </c>
      <c r="H84" s="7">
        <v>2690</v>
      </c>
      <c r="I84" s="8">
        <v>38362475</v>
      </c>
    </row>
    <row r="85" spans="1:9" x14ac:dyDescent="0.3">
      <c r="A85" s="3">
        <v>79</v>
      </c>
      <c r="B85" s="4" t="s">
        <v>106</v>
      </c>
      <c r="C85" s="5" t="s">
        <v>50</v>
      </c>
      <c r="D85" s="6">
        <v>41635</v>
      </c>
      <c r="E85" s="7">
        <v>5</v>
      </c>
      <c r="F85" s="8">
        <v>179302</v>
      </c>
      <c r="G85" s="9">
        <v>41767</v>
      </c>
      <c r="H85" s="7">
        <v>2411</v>
      </c>
      <c r="I85" s="8">
        <v>37738810</v>
      </c>
    </row>
    <row r="86" spans="1:9" x14ac:dyDescent="0.3">
      <c r="A86" s="3">
        <v>80</v>
      </c>
      <c r="B86" s="4" t="s">
        <v>107</v>
      </c>
      <c r="C86" s="5" t="s">
        <v>50</v>
      </c>
      <c r="D86" s="6">
        <v>41600</v>
      </c>
      <c r="E86" s="7">
        <v>4</v>
      </c>
      <c r="F86" s="8">
        <v>128435</v>
      </c>
      <c r="G86" s="9">
        <v>41781</v>
      </c>
      <c r="H86" s="7">
        <v>1225</v>
      </c>
      <c r="I86" s="8">
        <v>37709979</v>
      </c>
    </row>
    <row r="87" spans="1:9" x14ac:dyDescent="0.3">
      <c r="A87" s="3">
        <v>81</v>
      </c>
      <c r="B87" s="4" t="s">
        <v>108</v>
      </c>
      <c r="C87" s="5" t="s">
        <v>71</v>
      </c>
      <c r="D87" s="6">
        <v>41530</v>
      </c>
      <c r="E87" s="7">
        <v>3091</v>
      </c>
      <c r="F87" s="8">
        <v>14034764</v>
      </c>
      <c r="G87" s="9">
        <v>41648</v>
      </c>
      <c r="H87" s="7">
        <v>3091</v>
      </c>
      <c r="I87" s="8">
        <v>36918811</v>
      </c>
    </row>
    <row r="88" spans="1:9" x14ac:dyDescent="0.3">
      <c r="A88" s="3">
        <v>82</v>
      </c>
      <c r="B88" s="4" t="s">
        <v>109</v>
      </c>
      <c r="C88" s="5" t="s">
        <v>32</v>
      </c>
      <c r="D88" s="6">
        <v>41628</v>
      </c>
      <c r="E88" s="7">
        <v>3231</v>
      </c>
      <c r="F88" s="8">
        <v>7091938</v>
      </c>
      <c r="G88" s="9">
        <v>41739</v>
      </c>
      <c r="H88" s="7">
        <v>3243</v>
      </c>
      <c r="I88" s="8">
        <v>36076121</v>
      </c>
    </row>
    <row r="89" spans="1:9" x14ac:dyDescent="0.3">
      <c r="A89" s="3">
        <v>83</v>
      </c>
      <c r="B89" s="4" t="s">
        <v>110</v>
      </c>
      <c r="C89" s="5" t="s">
        <v>111</v>
      </c>
      <c r="D89" s="6">
        <v>41565</v>
      </c>
      <c r="E89" s="7">
        <v>3157</v>
      </c>
      <c r="F89" s="8">
        <v>16101552</v>
      </c>
      <c r="G89" s="9">
        <v>41602</v>
      </c>
      <c r="H89" s="7">
        <v>3157</v>
      </c>
      <c r="I89" s="8">
        <v>35266619</v>
      </c>
    </row>
    <row r="90" spans="1:9" x14ac:dyDescent="0.3">
      <c r="A90" s="3">
        <v>84</v>
      </c>
      <c r="B90" s="4" t="s">
        <v>112</v>
      </c>
      <c r="C90" s="5" t="s">
        <v>14</v>
      </c>
      <c r="D90" s="6">
        <v>41278</v>
      </c>
      <c r="E90" s="7">
        <v>2654</v>
      </c>
      <c r="F90" s="8">
        <v>21744470</v>
      </c>
      <c r="G90" s="9">
        <v>41333</v>
      </c>
      <c r="H90" s="7">
        <v>2659</v>
      </c>
      <c r="I90" s="8">
        <v>34341945</v>
      </c>
    </row>
    <row r="91" spans="1:9" x14ac:dyDescent="0.3">
      <c r="A91" s="3">
        <v>85</v>
      </c>
      <c r="B91" s="4" t="s">
        <v>113</v>
      </c>
      <c r="C91" s="5" t="s">
        <v>19</v>
      </c>
      <c r="D91" s="6">
        <v>41474</v>
      </c>
      <c r="E91" s="7">
        <v>2852</v>
      </c>
      <c r="F91" s="8">
        <v>12691415</v>
      </c>
      <c r="G91" s="9">
        <v>41543</v>
      </c>
      <c r="H91" s="7">
        <v>2852</v>
      </c>
      <c r="I91" s="8">
        <v>33618855</v>
      </c>
    </row>
    <row r="92" spans="1:9" x14ac:dyDescent="0.3">
      <c r="A92" s="3">
        <v>86</v>
      </c>
      <c r="B92" s="4" t="s">
        <v>114</v>
      </c>
      <c r="C92" s="5" t="s">
        <v>115</v>
      </c>
      <c r="D92" s="6">
        <v>41481</v>
      </c>
      <c r="E92" s="7">
        <v>6</v>
      </c>
      <c r="F92" s="8">
        <v>612064</v>
      </c>
      <c r="G92" s="9">
        <v>41732</v>
      </c>
      <c r="H92" s="7">
        <v>1283</v>
      </c>
      <c r="I92" s="8">
        <v>33405481</v>
      </c>
    </row>
    <row r="93" spans="1:9" x14ac:dyDescent="0.3">
      <c r="A93" s="3">
        <v>87</v>
      </c>
      <c r="B93" s="4" t="s">
        <v>116</v>
      </c>
      <c r="C93" s="5" t="s">
        <v>47</v>
      </c>
      <c r="D93" s="6">
        <v>41458</v>
      </c>
      <c r="E93" s="7">
        <v>876</v>
      </c>
      <c r="F93" s="8">
        <v>10030463</v>
      </c>
      <c r="G93" s="9">
        <v>41508</v>
      </c>
      <c r="H93" s="7">
        <v>892</v>
      </c>
      <c r="I93" s="8">
        <v>32244051</v>
      </c>
    </row>
    <row r="94" spans="1:9" x14ac:dyDescent="0.3">
      <c r="A94" s="3">
        <v>88</v>
      </c>
      <c r="B94" s="4" t="s">
        <v>117</v>
      </c>
      <c r="C94" s="5" t="s">
        <v>104</v>
      </c>
      <c r="D94" s="6">
        <v>41313</v>
      </c>
      <c r="E94" s="7">
        <v>2605</v>
      </c>
      <c r="F94" s="8">
        <v>9303145</v>
      </c>
      <c r="G94" s="9">
        <v>41410</v>
      </c>
      <c r="H94" s="7">
        <v>2605</v>
      </c>
      <c r="I94" s="8">
        <v>32172757</v>
      </c>
    </row>
    <row r="95" spans="1:9" x14ac:dyDescent="0.3">
      <c r="A95" s="3">
        <v>89</v>
      </c>
      <c r="B95" s="4" t="s">
        <v>118</v>
      </c>
      <c r="C95" s="5" t="s">
        <v>119</v>
      </c>
      <c r="D95" s="6">
        <v>41376</v>
      </c>
      <c r="E95" s="7">
        <v>3402</v>
      </c>
      <c r="F95" s="8">
        <v>14157367</v>
      </c>
      <c r="G95" s="9">
        <v>41480</v>
      </c>
      <c r="H95" s="7">
        <v>3402</v>
      </c>
      <c r="I95" s="8">
        <v>32015787</v>
      </c>
    </row>
    <row r="96" spans="1:9" x14ac:dyDescent="0.3">
      <c r="A96" s="3">
        <v>90</v>
      </c>
      <c r="B96" s="4" t="s">
        <v>120</v>
      </c>
      <c r="C96" s="5" t="s">
        <v>111</v>
      </c>
      <c r="D96" s="6">
        <v>41507</v>
      </c>
      <c r="E96" s="7">
        <v>3118</v>
      </c>
      <c r="F96" s="8">
        <v>9336957</v>
      </c>
      <c r="G96" s="9">
        <v>41553</v>
      </c>
      <c r="H96" s="7">
        <v>3118</v>
      </c>
      <c r="I96" s="8">
        <v>31165421</v>
      </c>
    </row>
    <row r="97" spans="1:9" x14ac:dyDescent="0.3">
      <c r="A97" s="3">
        <v>91</v>
      </c>
      <c r="B97" s="4" t="s">
        <v>121</v>
      </c>
      <c r="C97" s="5" t="s">
        <v>16</v>
      </c>
      <c r="D97" s="6">
        <v>41600</v>
      </c>
      <c r="E97" s="7">
        <v>3036</v>
      </c>
      <c r="F97" s="8">
        <v>7944977</v>
      </c>
      <c r="G97" s="9">
        <v>41718</v>
      </c>
      <c r="H97" s="7">
        <v>3036</v>
      </c>
      <c r="I97" s="8">
        <v>30664106</v>
      </c>
    </row>
    <row r="98" spans="1:9" x14ac:dyDescent="0.3">
      <c r="A98" s="3">
        <v>92</v>
      </c>
      <c r="B98" s="4" t="s">
        <v>122</v>
      </c>
      <c r="C98" s="5" t="s">
        <v>21</v>
      </c>
      <c r="D98" s="6">
        <v>41633</v>
      </c>
      <c r="E98" s="7">
        <v>2838</v>
      </c>
      <c r="F98" s="8">
        <v>7021993</v>
      </c>
      <c r="G98" s="9">
        <v>41711</v>
      </c>
      <c r="H98" s="7">
        <v>2856</v>
      </c>
      <c r="I98" s="8">
        <v>29807260</v>
      </c>
    </row>
    <row r="99" spans="1:9" x14ac:dyDescent="0.3">
      <c r="A99" s="3">
        <v>93</v>
      </c>
      <c r="B99" s="4" t="s">
        <v>123</v>
      </c>
      <c r="C99" s="5" t="s">
        <v>60</v>
      </c>
      <c r="D99" s="6">
        <v>41516</v>
      </c>
      <c r="E99" s="7">
        <v>2735</v>
      </c>
      <c r="F99" s="8">
        <v>15815497</v>
      </c>
      <c r="G99" s="9">
        <v>41553</v>
      </c>
      <c r="H99" s="7">
        <v>2735</v>
      </c>
      <c r="I99" s="8">
        <v>28873374</v>
      </c>
    </row>
    <row r="100" spans="1:9" x14ac:dyDescent="0.3">
      <c r="A100" s="3">
        <v>94</v>
      </c>
      <c r="B100" s="4" t="s">
        <v>124</v>
      </c>
      <c r="C100" s="5" t="s">
        <v>19</v>
      </c>
      <c r="D100" s="6">
        <v>41502</v>
      </c>
      <c r="E100" s="7">
        <v>2940</v>
      </c>
      <c r="F100" s="8">
        <v>13332955</v>
      </c>
      <c r="G100" s="9">
        <v>41543</v>
      </c>
      <c r="H100" s="7">
        <v>2945</v>
      </c>
      <c r="I100" s="8">
        <v>28795985</v>
      </c>
    </row>
    <row r="101" spans="1:9" x14ac:dyDescent="0.3">
      <c r="A101" s="3">
        <v>95</v>
      </c>
      <c r="B101" s="4" t="s">
        <v>125</v>
      </c>
      <c r="C101" s="5" t="s">
        <v>126</v>
      </c>
      <c r="D101" s="6">
        <v>41579</v>
      </c>
      <c r="E101" s="7">
        <v>9</v>
      </c>
      <c r="F101" s="8">
        <v>260865</v>
      </c>
      <c r="G101" s="9">
        <v>41760</v>
      </c>
      <c r="H101" s="7">
        <v>1110</v>
      </c>
      <c r="I101" s="8">
        <v>27298285</v>
      </c>
    </row>
    <row r="102" spans="1:9" x14ac:dyDescent="0.3">
      <c r="A102" s="3">
        <v>96</v>
      </c>
      <c r="B102" s="4" t="s">
        <v>127</v>
      </c>
      <c r="C102" s="5" t="s">
        <v>19</v>
      </c>
      <c r="D102" s="6">
        <v>41537</v>
      </c>
      <c r="E102" s="7">
        <v>5</v>
      </c>
      <c r="F102" s="8">
        <v>187289</v>
      </c>
      <c r="G102" s="9">
        <v>41599</v>
      </c>
      <c r="H102" s="7">
        <v>2308</v>
      </c>
      <c r="I102" s="8">
        <v>26947624</v>
      </c>
    </row>
    <row r="103" spans="1:9" x14ac:dyDescent="0.3">
      <c r="A103" s="3">
        <v>97</v>
      </c>
      <c r="B103" s="4" t="s">
        <v>128</v>
      </c>
      <c r="C103" s="5" t="s">
        <v>104</v>
      </c>
      <c r="D103" s="6">
        <v>41362</v>
      </c>
      <c r="E103" s="7">
        <v>3202</v>
      </c>
      <c r="F103" s="8">
        <v>10600112</v>
      </c>
      <c r="G103" s="9">
        <v>41424</v>
      </c>
      <c r="H103" s="7">
        <v>3202</v>
      </c>
      <c r="I103" s="8">
        <v>26627201</v>
      </c>
    </row>
    <row r="104" spans="1:9" x14ac:dyDescent="0.3">
      <c r="A104" s="3">
        <v>98</v>
      </c>
      <c r="B104" s="4" t="s">
        <v>129</v>
      </c>
      <c r="C104" s="5" t="s">
        <v>126</v>
      </c>
      <c r="D104" s="6">
        <v>41509</v>
      </c>
      <c r="E104" s="7">
        <v>1551</v>
      </c>
      <c r="F104" s="8">
        <v>8811790</v>
      </c>
      <c r="G104" s="9">
        <v>41613</v>
      </c>
      <c r="H104" s="7">
        <v>1553</v>
      </c>
      <c r="I104" s="8">
        <v>26004851</v>
      </c>
    </row>
    <row r="105" spans="1:9" x14ac:dyDescent="0.3">
      <c r="A105" s="3">
        <v>99</v>
      </c>
      <c r="B105" s="4" t="s">
        <v>130</v>
      </c>
      <c r="C105" s="5" t="s">
        <v>71</v>
      </c>
      <c r="D105" s="6">
        <v>41334</v>
      </c>
      <c r="E105" s="7">
        <v>2771</v>
      </c>
      <c r="F105" s="8">
        <v>8754168</v>
      </c>
      <c r="G105" s="9">
        <v>41410</v>
      </c>
      <c r="H105" s="7">
        <v>2771</v>
      </c>
      <c r="I105" s="8">
        <v>25682380</v>
      </c>
    </row>
    <row r="106" spans="1:9" x14ac:dyDescent="0.3">
      <c r="A106" s="3">
        <v>100</v>
      </c>
      <c r="B106" s="4" t="s">
        <v>131</v>
      </c>
      <c r="C106" s="5" t="s">
        <v>21</v>
      </c>
      <c r="D106" s="6">
        <v>41626</v>
      </c>
      <c r="E106" s="7">
        <v>6</v>
      </c>
      <c r="F106" s="8">
        <v>260382</v>
      </c>
      <c r="G106" s="9">
        <v>41746</v>
      </c>
      <c r="H106" s="7">
        <v>1729</v>
      </c>
      <c r="I106" s="8">
        <v>25568251</v>
      </c>
    </row>
  </sheetData>
  <mergeCells count="1">
    <mergeCell ref="A1:I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2"/>
  <sheetViews>
    <sheetView workbookViewId="0">
      <selection sqref="A1:I1"/>
    </sheetView>
  </sheetViews>
  <sheetFormatPr defaultRowHeight="15.6" x14ac:dyDescent="0.3"/>
  <cols>
    <col min="1" max="1" width="7.09765625" customWidth="1"/>
    <col min="2" max="2" width="33.69921875" customWidth="1"/>
    <col min="3" max="3" width="8.3984375" bestFit="1" customWidth="1"/>
    <col min="4" max="4" width="14.296875" customWidth="1"/>
    <col min="5" max="5" width="17.796875" customWidth="1"/>
    <col min="6" max="6" width="15.19921875" customWidth="1"/>
    <col min="7" max="7" width="13.3984375" customWidth="1"/>
    <col min="8" max="8" width="16.8984375" customWidth="1"/>
    <col min="9" max="9" width="14.5" customWidth="1"/>
  </cols>
  <sheetData>
    <row r="1" spans="1:12" x14ac:dyDescent="0.3">
      <c r="A1" s="62" t="s">
        <v>3</v>
      </c>
      <c r="B1" s="63"/>
      <c r="C1" s="63"/>
      <c r="D1" s="63"/>
      <c r="E1" s="63"/>
      <c r="F1" s="63"/>
      <c r="G1" s="63"/>
      <c r="H1" s="63"/>
      <c r="I1" s="64"/>
      <c r="K1" s="10" t="s">
        <v>141</v>
      </c>
    </row>
    <row r="2" spans="1:12" ht="31.2" x14ac:dyDescent="0.3">
      <c r="A2" s="29" t="s">
        <v>4</v>
      </c>
      <c r="B2" s="30" t="s">
        <v>5</v>
      </c>
      <c r="C2" s="30" t="s">
        <v>6</v>
      </c>
      <c r="D2" s="30" t="s">
        <v>7</v>
      </c>
      <c r="E2" s="31" t="s">
        <v>8</v>
      </c>
      <c r="F2" s="31" t="s">
        <v>9</v>
      </c>
      <c r="G2" s="30" t="s">
        <v>10</v>
      </c>
      <c r="H2" s="31" t="s">
        <v>11</v>
      </c>
      <c r="I2" s="32" t="s">
        <v>12</v>
      </c>
      <c r="K2" s="11">
        <v>1</v>
      </c>
      <c r="L2" s="12" t="s">
        <v>291</v>
      </c>
    </row>
    <row r="3" spans="1:12" x14ac:dyDescent="0.3">
      <c r="A3" s="33">
        <v>1</v>
      </c>
      <c r="B3" s="34" t="s">
        <v>13</v>
      </c>
      <c r="C3" s="35" t="s">
        <v>14</v>
      </c>
      <c r="D3" s="36">
        <v>41600</v>
      </c>
      <c r="E3" s="37">
        <v>4163</v>
      </c>
      <c r="F3" s="25">
        <v>158074286</v>
      </c>
      <c r="G3" s="9">
        <v>41732</v>
      </c>
      <c r="H3" s="7">
        <v>4163</v>
      </c>
      <c r="I3" s="25">
        <v>424668047</v>
      </c>
      <c r="K3" s="11">
        <v>2</v>
      </c>
      <c r="L3" t="s">
        <v>303</v>
      </c>
    </row>
    <row r="4" spans="1:12" x14ac:dyDescent="0.3">
      <c r="A4" s="33">
        <v>2</v>
      </c>
      <c r="B4" s="34" t="s">
        <v>15</v>
      </c>
      <c r="C4" s="35" t="s">
        <v>16</v>
      </c>
      <c r="D4" s="36">
        <v>41397</v>
      </c>
      <c r="E4" s="37">
        <v>4253</v>
      </c>
      <c r="F4" s="25">
        <v>174144585</v>
      </c>
      <c r="G4" s="9">
        <v>41529</v>
      </c>
      <c r="H4" s="7">
        <v>4253</v>
      </c>
      <c r="I4" s="25">
        <v>409013994</v>
      </c>
      <c r="K4" s="11">
        <v>3</v>
      </c>
      <c r="L4" t="s">
        <v>299</v>
      </c>
    </row>
    <row r="5" spans="1:12" x14ac:dyDescent="0.3">
      <c r="A5" s="33">
        <v>3</v>
      </c>
      <c r="B5" s="34" t="s">
        <v>17</v>
      </c>
      <c r="C5" s="35" t="s">
        <v>16</v>
      </c>
      <c r="D5" s="36">
        <v>41600</v>
      </c>
      <c r="E5" s="37">
        <v>1</v>
      </c>
      <c r="F5" s="25">
        <v>243390</v>
      </c>
      <c r="G5" s="9">
        <v>41837</v>
      </c>
      <c r="H5" s="7">
        <v>3742</v>
      </c>
      <c r="I5" s="25">
        <v>400738009</v>
      </c>
      <c r="K5" s="11">
        <v>4</v>
      </c>
      <c r="L5" t="s">
        <v>298</v>
      </c>
    </row>
    <row r="6" spans="1:12" x14ac:dyDescent="0.3">
      <c r="A6" s="33">
        <v>4</v>
      </c>
      <c r="B6" s="34" t="s">
        <v>18</v>
      </c>
      <c r="C6" s="35" t="s">
        <v>19</v>
      </c>
      <c r="D6" s="36">
        <v>41458</v>
      </c>
      <c r="E6" s="37">
        <v>3997</v>
      </c>
      <c r="F6" s="25">
        <v>83517315</v>
      </c>
      <c r="G6" s="9">
        <v>41655</v>
      </c>
      <c r="H6" s="7">
        <v>4003</v>
      </c>
      <c r="I6" s="25">
        <v>368061265</v>
      </c>
      <c r="K6" s="11">
        <v>5</v>
      </c>
      <c r="L6" t="s">
        <v>300</v>
      </c>
    </row>
    <row r="7" spans="1:12" x14ac:dyDescent="0.3">
      <c r="A7" s="33">
        <v>5</v>
      </c>
      <c r="B7" s="34" t="s">
        <v>20</v>
      </c>
      <c r="C7" s="35" t="s">
        <v>21</v>
      </c>
      <c r="D7" s="36">
        <v>41439</v>
      </c>
      <c r="E7" s="37">
        <v>4207</v>
      </c>
      <c r="F7" s="25">
        <v>116619362</v>
      </c>
      <c r="G7" s="9">
        <v>41536</v>
      </c>
      <c r="H7" s="7">
        <v>4207</v>
      </c>
      <c r="I7" s="25">
        <v>291045518</v>
      </c>
      <c r="K7" s="11">
        <v>6</v>
      </c>
      <c r="L7" t="s">
        <v>302</v>
      </c>
    </row>
    <row r="8" spans="1:12" x14ac:dyDescent="0.3">
      <c r="A8" s="33">
        <v>6</v>
      </c>
      <c r="B8" s="34" t="s">
        <v>22</v>
      </c>
      <c r="C8" s="35" t="s">
        <v>21</v>
      </c>
      <c r="D8" s="36">
        <v>41551</v>
      </c>
      <c r="E8" s="37">
        <v>3575</v>
      </c>
      <c r="F8" s="25">
        <v>55785112</v>
      </c>
      <c r="G8" s="9">
        <v>41767</v>
      </c>
      <c r="H8" s="7">
        <v>3820</v>
      </c>
      <c r="I8" s="25">
        <v>274092705</v>
      </c>
      <c r="K8" s="11">
        <v>7</v>
      </c>
      <c r="L8" t="s">
        <v>296</v>
      </c>
    </row>
    <row r="9" spans="1:12" x14ac:dyDescent="0.3">
      <c r="A9" s="33">
        <v>7</v>
      </c>
      <c r="B9" s="34" t="s">
        <v>23</v>
      </c>
      <c r="C9" s="35" t="s">
        <v>16</v>
      </c>
      <c r="D9" s="36">
        <v>41446</v>
      </c>
      <c r="E9" s="37">
        <v>4004</v>
      </c>
      <c r="F9" s="25">
        <v>82429469</v>
      </c>
      <c r="G9" s="9">
        <v>41627</v>
      </c>
      <c r="H9" s="7">
        <v>4004</v>
      </c>
      <c r="I9" s="25">
        <v>268492764</v>
      </c>
      <c r="K9" s="11">
        <v>8</v>
      </c>
      <c r="L9" t="s">
        <v>297</v>
      </c>
    </row>
    <row r="10" spans="1:12" x14ac:dyDescent="0.3">
      <c r="A10" s="33">
        <v>8</v>
      </c>
      <c r="B10" s="34" t="s">
        <v>24</v>
      </c>
      <c r="C10" s="35" t="s">
        <v>21</v>
      </c>
      <c r="D10" s="36">
        <v>41621</v>
      </c>
      <c r="E10" s="37">
        <v>3903</v>
      </c>
      <c r="F10" s="25">
        <v>73645197</v>
      </c>
      <c r="G10" s="9">
        <v>41746</v>
      </c>
      <c r="H10" s="7">
        <v>3928</v>
      </c>
      <c r="I10" s="25">
        <v>258366855</v>
      </c>
      <c r="K10" s="11">
        <v>9</v>
      </c>
      <c r="L10" t="s">
        <v>301</v>
      </c>
    </row>
    <row r="11" spans="1:12" x14ac:dyDescent="0.3">
      <c r="A11" s="33">
        <v>9</v>
      </c>
      <c r="B11" s="34" t="s">
        <v>25</v>
      </c>
      <c r="C11" s="35" t="s">
        <v>19</v>
      </c>
      <c r="D11" s="36">
        <v>41418</v>
      </c>
      <c r="E11" s="37">
        <v>3658</v>
      </c>
      <c r="F11" s="25">
        <v>97375245</v>
      </c>
      <c r="G11" s="9">
        <v>41522</v>
      </c>
      <c r="H11" s="7">
        <v>3771</v>
      </c>
      <c r="I11" s="25">
        <v>238679850</v>
      </c>
      <c r="K11" s="11"/>
    </row>
    <row r="12" spans="1:12" x14ac:dyDescent="0.3">
      <c r="A12" s="38">
        <v>10</v>
      </c>
      <c r="B12" s="39" t="s">
        <v>26</v>
      </c>
      <c r="C12" s="40" t="s">
        <v>16</v>
      </c>
      <c r="D12" s="41">
        <v>41341</v>
      </c>
      <c r="E12" s="42">
        <v>3912</v>
      </c>
      <c r="F12" s="28">
        <v>79110453</v>
      </c>
      <c r="G12" s="27">
        <v>41473</v>
      </c>
      <c r="H12" s="26">
        <v>3912</v>
      </c>
      <c r="I12" s="28">
        <v>234911825</v>
      </c>
    </row>
  </sheetData>
  <mergeCells count="1">
    <mergeCell ref="A1:I1"/>
  </mergeCells>
  <dataValidations count="5">
    <dataValidation type="whole" allowBlank="1" showInputMessage="1" showErrorMessage="1" sqref="A3:A12">
      <formula1>1</formula1>
      <formula2>100</formula2>
    </dataValidation>
    <dataValidation type="textLength" operator="greaterThan" allowBlank="1" showInputMessage="1" showErrorMessage="1" sqref="B3:B12">
      <formula1>1</formula1>
    </dataValidation>
    <dataValidation type="textLength" allowBlank="1" showInputMessage="1" showErrorMessage="1" sqref="C3:C12">
      <formula1>1</formula1>
      <formula2>10</formula2>
    </dataValidation>
    <dataValidation type="date" allowBlank="1" showInputMessage="1" showErrorMessage="1" sqref="D3:D12">
      <formula1>41275</formula1>
      <formula2>41639</formula2>
    </dataValidation>
    <dataValidation type="whole" operator="greaterThanOrEqual" allowBlank="1" showInputMessage="1" showErrorMessage="1" sqref="E3:E12">
      <formula1>1</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123"/>
  <sheetViews>
    <sheetView workbookViewId="0">
      <selection sqref="A1:I1"/>
    </sheetView>
  </sheetViews>
  <sheetFormatPr defaultRowHeight="15.6" outlineLevelRow="2" x14ac:dyDescent="0.3"/>
  <cols>
    <col min="1" max="1" width="4.8984375" bestFit="1" customWidth="1"/>
    <col min="2" max="2" width="33.69921875" customWidth="1"/>
    <col min="3" max="3" width="11.3984375" customWidth="1"/>
    <col min="4" max="4" width="9.59765625" customWidth="1"/>
    <col min="5" max="5" width="7.69921875" bestFit="1" customWidth="1"/>
    <col min="6" max="6" width="13.8984375" customWidth="1"/>
    <col min="7" max="7" width="8.796875" customWidth="1"/>
    <col min="8" max="8" width="7.69921875" bestFit="1" customWidth="1"/>
    <col min="9" max="9" width="15" bestFit="1" customWidth="1"/>
  </cols>
  <sheetData>
    <row r="1" spans="1:12" x14ac:dyDescent="0.3">
      <c r="A1" s="62" t="s">
        <v>3</v>
      </c>
      <c r="B1" s="63"/>
      <c r="C1" s="63"/>
      <c r="D1" s="63"/>
      <c r="E1" s="63"/>
      <c r="F1" s="63"/>
      <c r="G1" s="63"/>
      <c r="H1" s="63"/>
      <c r="I1" s="64"/>
      <c r="K1" s="10" t="s">
        <v>134</v>
      </c>
    </row>
    <row r="2" spans="1:12" ht="31.2" x14ac:dyDescent="0.3">
      <c r="A2" s="1" t="s">
        <v>4</v>
      </c>
      <c r="B2" s="1" t="s">
        <v>5</v>
      </c>
      <c r="C2" s="1" t="s">
        <v>6</v>
      </c>
      <c r="D2" s="1" t="s">
        <v>7</v>
      </c>
      <c r="E2" s="2" t="s">
        <v>8</v>
      </c>
      <c r="F2" s="2" t="s">
        <v>9</v>
      </c>
      <c r="G2" s="1" t="s">
        <v>10</v>
      </c>
      <c r="H2" s="2" t="s">
        <v>11</v>
      </c>
      <c r="I2" s="2" t="s">
        <v>12</v>
      </c>
      <c r="K2" s="11">
        <v>1</v>
      </c>
      <c r="L2" s="12" t="s">
        <v>291</v>
      </c>
    </row>
    <row r="3" spans="1:12" outlineLevel="2" x14ac:dyDescent="0.3">
      <c r="A3" s="3">
        <v>2</v>
      </c>
      <c r="B3" s="4" t="s">
        <v>15</v>
      </c>
      <c r="C3" s="5" t="s">
        <v>16</v>
      </c>
      <c r="D3" s="6">
        <v>41397</v>
      </c>
      <c r="E3" s="7">
        <v>4253</v>
      </c>
      <c r="F3" s="8">
        <v>174144585</v>
      </c>
      <c r="G3" s="9">
        <v>41529</v>
      </c>
      <c r="H3" s="7">
        <v>4253</v>
      </c>
      <c r="I3" s="8">
        <v>409013994</v>
      </c>
      <c r="K3" s="11">
        <v>2</v>
      </c>
      <c r="L3" t="s">
        <v>304</v>
      </c>
    </row>
    <row r="4" spans="1:12" outlineLevel="2" x14ac:dyDescent="0.3">
      <c r="A4" s="3">
        <v>3</v>
      </c>
      <c r="B4" s="4" t="s">
        <v>17</v>
      </c>
      <c r="C4" s="5" t="s">
        <v>16</v>
      </c>
      <c r="D4" s="6">
        <v>41600</v>
      </c>
      <c r="E4" s="7">
        <v>1</v>
      </c>
      <c r="F4" s="8">
        <v>243390</v>
      </c>
      <c r="G4" s="9">
        <v>41837</v>
      </c>
      <c r="H4" s="7">
        <v>3742</v>
      </c>
      <c r="I4" s="8">
        <v>400738009</v>
      </c>
      <c r="K4" s="11">
        <v>3</v>
      </c>
      <c r="L4" t="s">
        <v>305</v>
      </c>
    </row>
    <row r="5" spans="1:12" outlineLevel="2" x14ac:dyDescent="0.3">
      <c r="A5" s="3">
        <v>7</v>
      </c>
      <c r="B5" s="4" t="s">
        <v>23</v>
      </c>
      <c r="C5" s="5" t="s">
        <v>16</v>
      </c>
      <c r="D5" s="6">
        <v>41446</v>
      </c>
      <c r="E5" s="7">
        <v>4004</v>
      </c>
      <c r="F5" s="8">
        <v>82429469</v>
      </c>
      <c r="G5" s="9">
        <v>41627</v>
      </c>
      <c r="H5" s="7">
        <v>4004</v>
      </c>
      <c r="I5" s="8">
        <v>268492764</v>
      </c>
      <c r="K5" s="11">
        <v>4</v>
      </c>
      <c r="L5" t="s">
        <v>327</v>
      </c>
    </row>
    <row r="6" spans="1:12" outlineLevel="2" x14ac:dyDescent="0.3">
      <c r="A6" s="3">
        <v>10</v>
      </c>
      <c r="B6" s="4" t="s">
        <v>26</v>
      </c>
      <c r="C6" s="5" t="s">
        <v>16</v>
      </c>
      <c r="D6" s="6">
        <v>41341</v>
      </c>
      <c r="E6" s="7">
        <v>3912</v>
      </c>
      <c r="F6" s="8">
        <v>79110453</v>
      </c>
      <c r="G6" s="9">
        <v>41473</v>
      </c>
      <c r="H6" s="7">
        <v>3912</v>
      </c>
      <c r="I6" s="8">
        <v>234911825</v>
      </c>
      <c r="K6" s="11">
        <v>5</v>
      </c>
      <c r="L6" t="s">
        <v>328</v>
      </c>
    </row>
    <row r="7" spans="1:12" outlineLevel="2" x14ac:dyDescent="0.3">
      <c r="A7" s="3">
        <v>12</v>
      </c>
      <c r="B7" s="4" t="s">
        <v>29</v>
      </c>
      <c r="C7" s="5" t="s">
        <v>16</v>
      </c>
      <c r="D7" s="6">
        <v>41586</v>
      </c>
      <c r="E7" s="7">
        <v>3841</v>
      </c>
      <c r="F7" s="8">
        <v>85737841</v>
      </c>
      <c r="G7" s="9">
        <v>41746</v>
      </c>
      <c r="H7" s="7">
        <v>3841</v>
      </c>
      <c r="I7" s="8">
        <v>206362140</v>
      </c>
      <c r="K7" s="11">
        <v>6</v>
      </c>
      <c r="L7" t="s">
        <v>329</v>
      </c>
    </row>
    <row r="8" spans="1:12" outlineLevel="2" x14ac:dyDescent="0.3">
      <c r="A8" s="3">
        <v>39</v>
      </c>
      <c r="B8" s="4" t="s">
        <v>61</v>
      </c>
      <c r="C8" s="5" t="s">
        <v>16</v>
      </c>
      <c r="D8" s="6">
        <v>41495</v>
      </c>
      <c r="E8" s="7">
        <v>3702</v>
      </c>
      <c r="F8" s="8">
        <v>22232291</v>
      </c>
      <c r="G8" s="9">
        <v>41627</v>
      </c>
      <c r="H8" s="7">
        <v>3716</v>
      </c>
      <c r="I8" s="8">
        <v>90288712</v>
      </c>
      <c r="K8" s="11"/>
    </row>
    <row r="9" spans="1:12" outlineLevel="2" x14ac:dyDescent="0.3">
      <c r="A9" s="3">
        <v>40</v>
      </c>
      <c r="B9" s="4" t="s">
        <v>62</v>
      </c>
      <c r="C9" s="5" t="s">
        <v>16</v>
      </c>
      <c r="D9" s="6">
        <v>41458</v>
      </c>
      <c r="E9" s="7">
        <v>3904</v>
      </c>
      <c r="F9" s="8">
        <v>29210849</v>
      </c>
      <c r="G9" s="9">
        <v>41557</v>
      </c>
      <c r="H9" s="7">
        <v>3904</v>
      </c>
      <c r="I9" s="8">
        <v>89302115</v>
      </c>
      <c r="K9" s="11"/>
    </row>
    <row r="10" spans="1:12" outlineLevel="2" x14ac:dyDescent="0.3">
      <c r="A10" s="3">
        <v>43</v>
      </c>
      <c r="B10" s="4" t="s">
        <v>65</v>
      </c>
      <c r="C10" s="5" t="s">
        <v>16</v>
      </c>
      <c r="D10" s="6">
        <v>41621</v>
      </c>
      <c r="E10" s="7">
        <v>15</v>
      </c>
      <c r="F10" s="8">
        <v>413373</v>
      </c>
      <c r="G10" s="9">
        <v>41746</v>
      </c>
      <c r="H10" s="7">
        <v>2671</v>
      </c>
      <c r="I10" s="8">
        <v>83301580</v>
      </c>
      <c r="K10" s="11"/>
    </row>
    <row r="11" spans="1:12" outlineLevel="2" x14ac:dyDescent="0.3">
      <c r="A11" s="3">
        <v>91</v>
      </c>
      <c r="B11" s="4" t="s">
        <v>121</v>
      </c>
      <c r="C11" s="5" t="s">
        <v>16</v>
      </c>
      <c r="D11" s="6">
        <v>41600</v>
      </c>
      <c r="E11" s="7">
        <v>3036</v>
      </c>
      <c r="F11" s="8">
        <v>7944977</v>
      </c>
      <c r="G11" s="9">
        <v>41718</v>
      </c>
      <c r="H11" s="7">
        <v>3036</v>
      </c>
      <c r="I11" s="8">
        <v>30664106</v>
      </c>
      <c r="K11" s="11"/>
    </row>
    <row r="12" spans="1:12" outlineLevel="1" x14ac:dyDescent="0.3">
      <c r="A12" s="3"/>
      <c r="B12" s="4"/>
      <c r="C12" s="43" t="s">
        <v>306</v>
      </c>
      <c r="D12" s="6"/>
      <c r="E12" s="7"/>
      <c r="F12" s="8">
        <f>SUBTOTAL(9,F3:F11)</f>
        <v>481467228</v>
      </c>
      <c r="G12" s="9"/>
      <c r="H12" s="7"/>
      <c r="I12" s="8">
        <f>SUBTOTAL(9,I3:I11)</f>
        <v>1813075245</v>
      </c>
      <c r="K12" s="11"/>
    </row>
    <row r="13" spans="1:12" outlineLevel="2" x14ac:dyDescent="0.3">
      <c r="A13" s="3">
        <v>56</v>
      </c>
      <c r="B13" s="4" t="s">
        <v>80</v>
      </c>
      <c r="C13" s="5" t="s">
        <v>81</v>
      </c>
      <c r="D13" s="6">
        <v>41579</v>
      </c>
      <c r="E13" s="7">
        <v>3065</v>
      </c>
      <c r="F13" s="8">
        <v>16334566</v>
      </c>
      <c r="G13" s="9">
        <v>41690</v>
      </c>
      <c r="H13" s="7">
        <v>3237</v>
      </c>
      <c r="I13" s="8">
        <v>63914167</v>
      </c>
    </row>
    <row r="14" spans="1:12" outlineLevel="1" x14ac:dyDescent="0.3">
      <c r="A14" s="3"/>
      <c r="B14" s="4"/>
      <c r="C14" s="44" t="s">
        <v>307</v>
      </c>
      <c r="D14" s="6"/>
      <c r="E14" s="7"/>
      <c r="F14" s="8">
        <f>SUBTOTAL(9,F13:F13)</f>
        <v>16334566</v>
      </c>
      <c r="G14" s="9"/>
      <c r="H14" s="7"/>
      <c r="I14" s="8">
        <f>SUBTOTAL(9,I13:I13)</f>
        <v>63914167</v>
      </c>
    </row>
    <row r="15" spans="1:12" outlineLevel="2" x14ac:dyDescent="0.3">
      <c r="A15" s="3">
        <v>36</v>
      </c>
      <c r="B15" s="4" t="s">
        <v>57</v>
      </c>
      <c r="C15" s="5" t="s">
        <v>58</v>
      </c>
      <c r="D15" s="6">
        <v>41355</v>
      </c>
      <c r="E15" s="7">
        <v>3098</v>
      </c>
      <c r="F15" s="8">
        <v>30373794</v>
      </c>
      <c r="G15" s="9">
        <v>41466</v>
      </c>
      <c r="H15" s="7">
        <v>3106</v>
      </c>
      <c r="I15" s="8">
        <v>98925640</v>
      </c>
    </row>
    <row r="16" spans="1:12" outlineLevel="2" x14ac:dyDescent="0.3">
      <c r="A16" s="3">
        <v>42</v>
      </c>
      <c r="B16" s="4" t="s">
        <v>64</v>
      </c>
      <c r="C16" s="5" t="s">
        <v>58</v>
      </c>
      <c r="D16" s="6">
        <v>41530</v>
      </c>
      <c r="E16" s="7">
        <v>3049</v>
      </c>
      <c r="F16" s="8">
        <v>40272103</v>
      </c>
      <c r="G16" s="9">
        <v>41627</v>
      </c>
      <c r="H16" s="7">
        <v>3155</v>
      </c>
      <c r="I16" s="8">
        <v>83586447</v>
      </c>
    </row>
    <row r="17" spans="1:9" outlineLevel="1" x14ac:dyDescent="0.3">
      <c r="A17" s="3"/>
      <c r="B17" s="4"/>
      <c r="C17" s="44" t="s">
        <v>308</v>
      </c>
      <c r="D17" s="6"/>
      <c r="E17" s="7"/>
      <c r="F17" s="8">
        <f>SUBTOTAL(9,F15:F16)</f>
        <v>70645897</v>
      </c>
      <c r="G17" s="9"/>
      <c r="H17" s="7"/>
      <c r="I17" s="8">
        <f>SUBTOTAL(9,I15:I16)</f>
        <v>182512087</v>
      </c>
    </row>
    <row r="18" spans="1:9" outlineLevel="2" x14ac:dyDescent="0.3">
      <c r="A18" s="3">
        <v>95</v>
      </c>
      <c r="B18" s="4" t="s">
        <v>125</v>
      </c>
      <c r="C18" s="5" t="s">
        <v>126</v>
      </c>
      <c r="D18" s="6">
        <v>41579</v>
      </c>
      <c r="E18" s="7">
        <v>9</v>
      </c>
      <c r="F18" s="8">
        <v>260865</v>
      </c>
      <c r="G18" s="9">
        <v>41760</v>
      </c>
      <c r="H18" s="7">
        <v>1110</v>
      </c>
      <c r="I18" s="8">
        <v>27298285</v>
      </c>
    </row>
    <row r="19" spans="1:9" outlineLevel="2" x14ac:dyDescent="0.3">
      <c r="A19" s="3">
        <v>98</v>
      </c>
      <c r="B19" s="4" t="s">
        <v>129</v>
      </c>
      <c r="C19" s="5" t="s">
        <v>126</v>
      </c>
      <c r="D19" s="6">
        <v>41509</v>
      </c>
      <c r="E19" s="7">
        <v>1551</v>
      </c>
      <c r="F19" s="8">
        <v>8811790</v>
      </c>
      <c r="G19" s="9">
        <v>41613</v>
      </c>
      <c r="H19" s="7">
        <v>1553</v>
      </c>
      <c r="I19" s="8">
        <v>26004851</v>
      </c>
    </row>
    <row r="20" spans="1:9" outlineLevel="1" x14ac:dyDescent="0.3">
      <c r="A20" s="3"/>
      <c r="B20" s="4"/>
      <c r="C20" s="44" t="s">
        <v>309</v>
      </c>
      <c r="D20" s="6"/>
      <c r="E20" s="7"/>
      <c r="F20" s="8">
        <f>SUBTOTAL(9,F18:F19)</f>
        <v>9072655</v>
      </c>
      <c r="G20" s="9"/>
      <c r="H20" s="7"/>
      <c r="I20" s="8">
        <f>SUBTOTAL(9,I18:I19)</f>
        <v>53303136</v>
      </c>
    </row>
    <row r="21" spans="1:9" outlineLevel="2" x14ac:dyDescent="0.3">
      <c r="A21" s="3">
        <v>14</v>
      </c>
      <c r="B21" s="4" t="s">
        <v>31</v>
      </c>
      <c r="C21" s="5" t="s">
        <v>32</v>
      </c>
      <c r="D21" s="6">
        <v>41355</v>
      </c>
      <c r="E21" s="7">
        <v>4046</v>
      </c>
      <c r="F21" s="8">
        <v>43639736</v>
      </c>
      <c r="G21" s="9">
        <v>41536</v>
      </c>
      <c r="H21" s="7">
        <v>4065</v>
      </c>
      <c r="I21" s="8">
        <v>187168425</v>
      </c>
    </row>
    <row r="22" spans="1:9" outlineLevel="2" x14ac:dyDescent="0.3">
      <c r="A22" s="3">
        <v>15</v>
      </c>
      <c r="B22" s="4" t="s">
        <v>33</v>
      </c>
      <c r="C22" s="5" t="s">
        <v>32</v>
      </c>
      <c r="D22" s="6">
        <v>41453</v>
      </c>
      <c r="E22" s="7">
        <v>3181</v>
      </c>
      <c r="F22" s="8">
        <v>39115043</v>
      </c>
      <c r="G22" s="9">
        <v>41620</v>
      </c>
      <c r="H22" s="7">
        <v>3184</v>
      </c>
      <c r="I22" s="8">
        <v>159582188</v>
      </c>
    </row>
    <row r="23" spans="1:9" outlineLevel="2" x14ac:dyDescent="0.3">
      <c r="A23" s="3">
        <v>22</v>
      </c>
      <c r="B23" s="4" t="s">
        <v>41</v>
      </c>
      <c r="C23" s="5" t="s">
        <v>32</v>
      </c>
      <c r="D23" s="6">
        <v>41481</v>
      </c>
      <c r="E23" s="7">
        <v>3924</v>
      </c>
      <c r="F23" s="8">
        <v>53113752</v>
      </c>
      <c r="G23" s="9">
        <v>41613</v>
      </c>
      <c r="H23" s="7">
        <v>3924</v>
      </c>
      <c r="I23" s="8">
        <v>132556852</v>
      </c>
    </row>
    <row r="24" spans="1:9" outlineLevel="2" x14ac:dyDescent="0.3">
      <c r="A24" s="3">
        <v>31</v>
      </c>
      <c r="B24" s="4" t="s">
        <v>52</v>
      </c>
      <c r="C24" s="5" t="s">
        <v>32</v>
      </c>
      <c r="D24" s="6">
        <v>41418</v>
      </c>
      <c r="E24" s="7">
        <v>3882</v>
      </c>
      <c r="F24" s="8">
        <v>33531068</v>
      </c>
      <c r="G24" s="9">
        <v>41536</v>
      </c>
      <c r="H24" s="7">
        <v>3894</v>
      </c>
      <c r="I24" s="8">
        <v>107518682</v>
      </c>
    </row>
    <row r="25" spans="1:9" outlineLevel="2" x14ac:dyDescent="0.3">
      <c r="A25" s="3">
        <v>44</v>
      </c>
      <c r="B25" s="4" t="s">
        <v>66</v>
      </c>
      <c r="C25" s="5" t="s">
        <v>32</v>
      </c>
      <c r="D25" s="6">
        <v>41472</v>
      </c>
      <c r="E25" s="7">
        <v>3806</v>
      </c>
      <c r="F25" s="8">
        <v>21312625</v>
      </c>
      <c r="G25" s="9">
        <v>41620</v>
      </c>
      <c r="H25" s="7">
        <v>3809</v>
      </c>
      <c r="I25" s="8">
        <v>83028128</v>
      </c>
    </row>
    <row r="26" spans="1:9" outlineLevel="2" x14ac:dyDescent="0.3">
      <c r="A26" s="3">
        <v>51</v>
      </c>
      <c r="B26" s="4" t="s">
        <v>74</v>
      </c>
      <c r="C26" s="5" t="s">
        <v>32</v>
      </c>
      <c r="D26" s="6">
        <v>41493</v>
      </c>
      <c r="E26" s="7">
        <v>3031</v>
      </c>
      <c r="F26" s="8">
        <v>14401054</v>
      </c>
      <c r="G26" s="9">
        <v>41669</v>
      </c>
      <c r="H26" s="7">
        <v>3080</v>
      </c>
      <c r="I26" s="8">
        <v>68559554</v>
      </c>
    </row>
    <row r="27" spans="1:9" outlineLevel="2" x14ac:dyDescent="0.3">
      <c r="A27" s="3">
        <v>52</v>
      </c>
      <c r="B27" s="4" t="s">
        <v>75</v>
      </c>
      <c r="C27" s="5" t="s">
        <v>32</v>
      </c>
      <c r="D27" s="6">
        <v>41319</v>
      </c>
      <c r="E27" s="7">
        <v>3553</v>
      </c>
      <c r="F27" s="8">
        <v>24834845</v>
      </c>
      <c r="G27" s="9">
        <v>41417</v>
      </c>
      <c r="H27" s="7">
        <v>3555</v>
      </c>
      <c r="I27" s="8">
        <v>67349198</v>
      </c>
    </row>
    <row r="28" spans="1:9" outlineLevel="2" x14ac:dyDescent="0.3">
      <c r="A28" s="3">
        <v>60</v>
      </c>
      <c r="B28" s="4" t="s">
        <v>85</v>
      </c>
      <c r="C28" s="5" t="s">
        <v>32</v>
      </c>
      <c r="D28" s="6">
        <v>41633</v>
      </c>
      <c r="E28" s="7">
        <v>2909</v>
      </c>
      <c r="F28" s="8">
        <v>12765508</v>
      </c>
      <c r="G28" s="9">
        <v>41739</v>
      </c>
      <c r="H28" s="7">
        <v>2922</v>
      </c>
      <c r="I28" s="8">
        <v>58236838</v>
      </c>
    </row>
    <row r="29" spans="1:9" outlineLevel="2" x14ac:dyDescent="0.3">
      <c r="A29" s="3">
        <v>73</v>
      </c>
      <c r="B29" s="4" t="s">
        <v>99</v>
      </c>
      <c r="C29" s="5" t="s">
        <v>32</v>
      </c>
      <c r="D29" s="6">
        <v>41432</v>
      </c>
      <c r="E29" s="7">
        <v>3366</v>
      </c>
      <c r="F29" s="8">
        <v>17325307</v>
      </c>
      <c r="G29" s="9">
        <v>41529</v>
      </c>
      <c r="H29" s="7">
        <v>3399</v>
      </c>
      <c r="I29" s="8">
        <v>44672764</v>
      </c>
    </row>
    <row r="30" spans="1:9" outlineLevel="2" x14ac:dyDescent="0.3">
      <c r="A30" s="3">
        <v>82</v>
      </c>
      <c r="B30" s="4" t="s">
        <v>109</v>
      </c>
      <c r="C30" s="5" t="s">
        <v>32</v>
      </c>
      <c r="D30" s="6">
        <v>41628</v>
      </c>
      <c r="E30" s="7">
        <v>3231</v>
      </c>
      <c r="F30" s="8">
        <v>7091938</v>
      </c>
      <c r="G30" s="9">
        <v>41739</v>
      </c>
      <c r="H30" s="7">
        <v>3243</v>
      </c>
      <c r="I30" s="8">
        <v>36076121</v>
      </c>
    </row>
    <row r="31" spans="1:9" outlineLevel="1" x14ac:dyDescent="0.3">
      <c r="A31" s="3"/>
      <c r="B31" s="4"/>
      <c r="C31" s="44" t="s">
        <v>310</v>
      </c>
      <c r="D31" s="6"/>
      <c r="E31" s="7"/>
      <c r="F31" s="8">
        <f>SUBTOTAL(9,F21:F30)</f>
        <v>267130876</v>
      </c>
      <c r="G31" s="9"/>
      <c r="H31" s="7"/>
      <c r="I31" s="8">
        <f>SUBTOTAL(9,I21:I30)</f>
        <v>944748750</v>
      </c>
    </row>
    <row r="32" spans="1:9" outlineLevel="2" x14ac:dyDescent="0.3">
      <c r="A32" s="3">
        <v>62</v>
      </c>
      <c r="B32" s="4" t="s">
        <v>87</v>
      </c>
      <c r="C32" s="5" t="s">
        <v>88</v>
      </c>
      <c r="D32" s="6">
        <v>41565</v>
      </c>
      <c r="E32" s="7">
        <v>19</v>
      </c>
      <c r="F32" s="8">
        <v>923715</v>
      </c>
      <c r="G32" s="9">
        <v>41767</v>
      </c>
      <c r="H32" s="7">
        <v>1474</v>
      </c>
      <c r="I32" s="8">
        <v>56671993</v>
      </c>
    </row>
    <row r="33" spans="1:9" outlineLevel="1" x14ac:dyDescent="0.3">
      <c r="A33" s="3"/>
      <c r="B33" s="4"/>
      <c r="C33" s="44" t="s">
        <v>311</v>
      </c>
      <c r="D33" s="6"/>
      <c r="E33" s="7"/>
      <c r="F33" s="8">
        <f>SUBTOTAL(9,F32:F32)</f>
        <v>923715</v>
      </c>
      <c r="G33" s="9"/>
      <c r="H33" s="7"/>
      <c r="I33" s="8">
        <f>SUBTOTAL(9,I32:I32)</f>
        <v>56671993</v>
      </c>
    </row>
    <row r="34" spans="1:9" outlineLevel="2" x14ac:dyDescent="0.3">
      <c r="A34" s="3">
        <v>27</v>
      </c>
      <c r="B34" s="4" t="s">
        <v>46</v>
      </c>
      <c r="C34" s="5" t="s">
        <v>47</v>
      </c>
      <c r="D34" s="6">
        <v>41425</v>
      </c>
      <c r="E34" s="7">
        <v>2925</v>
      </c>
      <c r="F34" s="8">
        <v>29350389</v>
      </c>
      <c r="G34" s="9">
        <v>41543</v>
      </c>
      <c r="H34" s="7">
        <v>3082</v>
      </c>
      <c r="I34" s="8">
        <v>117723989</v>
      </c>
    </row>
    <row r="35" spans="1:9" outlineLevel="2" x14ac:dyDescent="0.3">
      <c r="A35" s="3">
        <v>53</v>
      </c>
      <c r="B35" s="4" t="s">
        <v>76</v>
      </c>
      <c r="C35" s="5" t="s">
        <v>47</v>
      </c>
      <c r="D35" s="6">
        <v>41306</v>
      </c>
      <c r="E35" s="7">
        <v>3009</v>
      </c>
      <c r="F35" s="8">
        <v>20353967</v>
      </c>
      <c r="G35" s="9">
        <v>41403</v>
      </c>
      <c r="H35" s="7">
        <v>3009</v>
      </c>
      <c r="I35" s="8">
        <v>66380662</v>
      </c>
    </row>
    <row r="36" spans="1:9" outlineLevel="2" x14ac:dyDescent="0.3">
      <c r="A36" s="3">
        <v>57</v>
      </c>
      <c r="B36" s="4" t="s">
        <v>82</v>
      </c>
      <c r="C36" s="5" t="s">
        <v>47</v>
      </c>
      <c r="D36" s="6">
        <v>41579</v>
      </c>
      <c r="E36" s="7">
        <v>3407</v>
      </c>
      <c r="F36" s="8">
        <v>27017351</v>
      </c>
      <c r="G36" s="9">
        <v>41648</v>
      </c>
      <c r="H36" s="7">
        <v>3407</v>
      </c>
      <c r="I36" s="8">
        <v>61737191</v>
      </c>
    </row>
    <row r="37" spans="1:9" outlineLevel="2" x14ac:dyDescent="0.3">
      <c r="A37" s="3">
        <v>66</v>
      </c>
      <c r="B37" s="4" t="s">
        <v>92</v>
      </c>
      <c r="C37" s="5" t="s">
        <v>47</v>
      </c>
      <c r="D37" s="6">
        <v>41474</v>
      </c>
      <c r="E37" s="7">
        <v>3016</v>
      </c>
      <c r="F37" s="8">
        <v>18048422</v>
      </c>
      <c r="G37" s="9">
        <v>41564</v>
      </c>
      <c r="H37" s="7">
        <v>3016</v>
      </c>
      <c r="I37" s="8">
        <v>53262560</v>
      </c>
    </row>
    <row r="38" spans="1:9" outlineLevel="2" x14ac:dyDescent="0.3">
      <c r="A38" s="3">
        <v>75</v>
      </c>
      <c r="B38" s="4" t="s">
        <v>101</v>
      </c>
      <c r="C38" s="5" t="s">
        <v>47</v>
      </c>
      <c r="D38" s="6">
        <v>41327</v>
      </c>
      <c r="E38" s="7">
        <v>2511</v>
      </c>
      <c r="F38" s="8">
        <v>13167607</v>
      </c>
      <c r="G38" s="9">
        <v>41424</v>
      </c>
      <c r="H38" s="7">
        <v>2511</v>
      </c>
      <c r="I38" s="8">
        <v>42930462</v>
      </c>
    </row>
    <row r="39" spans="1:9" outlineLevel="2" x14ac:dyDescent="0.3">
      <c r="A39" s="3">
        <v>87</v>
      </c>
      <c r="B39" s="4" t="s">
        <v>116</v>
      </c>
      <c r="C39" s="5" t="s">
        <v>47</v>
      </c>
      <c r="D39" s="6">
        <v>41458</v>
      </c>
      <c r="E39" s="7">
        <v>876</v>
      </c>
      <c r="F39" s="8">
        <v>10030463</v>
      </c>
      <c r="G39" s="9">
        <v>41508</v>
      </c>
      <c r="H39" s="7">
        <v>892</v>
      </c>
      <c r="I39" s="8">
        <v>32244051</v>
      </c>
    </row>
    <row r="40" spans="1:9" outlineLevel="1" x14ac:dyDescent="0.3">
      <c r="A40" s="3"/>
      <c r="B40" s="4"/>
      <c r="C40" s="44" t="s">
        <v>312</v>
      </c>
      <c r="D40" s="6"/>
      <c r="E40" s="7"/>
      <c r="F40" s="8">
        <f>SUBTOTAL(9,F34:F39)</f>
        <v>117968199</v>
      </c>
      <c r="G40" s="9"/>
      <c r="H40" s="7"/>
      <c r="I40" s="8">
        <f>SUBTOTAL(9,I34:I39)</f>
        <v>374278915</v>
      </c>
    </row>
    <row r="41" spans="1:9" outlineLevel="2" x14ac:dyDescent="0.3">
      <c r="A41" s="3">
        <v>1</v>
      </c>
      <c r="B41" s="4" t="s">
        <v>13</v>
      </c>
      <c r="C41" s="5" t="s">
        <v>14</v>
      </c>
      <c r="D41" s="6">
        <v>41600</v>
      </c>
      <c r="E41" s="7">
        <v>4163</v>
      </c>
      <c r="F41" s="8">
        <v>158074286</v>
      </c>
      <c r="G41" s="9">
        <v>41732</v>
      </c>
      <c r="H41" s="7">
        <v>4163</v>
      </c>
      <c r="I41" s="8">
        <v>424668047</v>
      </c>
    </row>
    <row r="42" spans="1:9" outlineLevel="2" x14ac:dyDescent="0.3">
      <c r="A42" s="3">
        <v>67</v>
      </c>
      <c r="B42" s="4" t="s">
        <v>93</v>
      </c>
      <c r="C42" s="5" t="s">
        <v>14</v>
      </c>
      <c r="D42" s="6">
        <v>41621</v>
      </c>
      <c r="E42" s="7">
        <v>2194</v>
      </c>
      <c r="F42" s="8">
        <v>16007634</v>
      </c>
      <c r="G42" s="9">
        <v>41683</v>
      </c>
      <c r="H42" s="7">
        <v>2194</v>
      </c>
      <c r="I42" s="8">
        <v>52543354</v>
      </c>
    </row>
    <row r="43" spans="1:9" ht="31.2" outlineLevel="2" x14ac:dyDescent="0.3">
      <c r="A43" s="3">
        <v>68</v>
      </c>
      <c r="B43" s="4" t="s">
        <v>94</v>
      </c>
      <c r="C43" s="5" t="s">
        <v>14</v>
      </c>
      <c r="D43" s="6">
        <v>41362</v>
      </c>
      <c r="E43" s="7">
        <v>2047</v>
      </c>
      <c r="F43" s="8">
        <v>21641679</v>
      </c>
      <c r="G43" s="9">
        <v>41424</v>
      </c>
      <c r="H43" s="7">
        <v>2047</v>
      </c>
      <c r="I43" s="8">
        <v>51975354</v>
      </c>
    </row>
    <row r="44" spans="1:9" outlineLevel="2" x14ac:dyDescent="0.3">
      <c r="A44" s="3">
        <v>74</v>
      </c>
      <c r="B44" s="4" t="s">
        <v>100</v>
      </c>
      <c r="C44" s="5" t="s">
        <v>14</v>
      </c>
      <c r="D44" s="6">
        <v>41516</v>
      </c>
      <c r="E44" s="7">
        <v>348</v>
      </c>
      <c r="F44" s="8">
        <v>7846426</v>
      </c>
      <c r="G44" s="9">
        <v>41620</v>
      </c>
      <c r="H44" s="7">
        <v>978</v>
      </c>
      <c r="I44" s="8">
        <v>44467206</v>
      </c>
    </row>
    <row r="45" spans="1:9" outlineLevel="2" x14ac:dyDescent="0.3">
      <c r="A45" s="3">
        <v>84</v>
      </c>
      <c r="B45" s="4" t="s">
        <v>112</v>
      </c>
      <c r="C45" s="5" t="s">
        <v>14</v>
      </c>
      <c r="D45" s="6">
        <v>41278</v>
      </c>
      <c r="E45" s="7">
        <v>2654</v>
      </c>
      <c r="F45" s="8">
        <v>21744470</v>
      </c>
      <c r="G45" s="9">
        <v>41333</v>
      </c>
      <c r="H45" s="7">
        <v>2659</v>
      </c>
      <c r="I45" s="8">
        <v>34341945</v>
      </c>
    </row>
    <row r="46" spans="1:9" outlineLevel="1" x14ac:dyDescent="0.3">
      <c r="A46" s="3"/>
      <c r="B46" s="4"/>
      <c r="C46" s="44" t="s">
        <v>313</v>
      </c>
      <c r="D46" s="6"/>
      <c r="E46" s="7"/>
      <c r="F46" s="8">
        <f>SUBTOTAL(9,F41:F45)</f>
        <v>225314495</v>
      </c>
      <c r="G46" s="9"/>
      <c r="H46" s="7"/>
      <c r="I46" s="8">
        <f>SUBTOTAL(9,I41:I45)</f>
        <v>607995906</v>
      </c>
    </row>
    <row r="47" spans="1:9" outlineLevel="2" x14ac:dyDescent="0.3">
      <c r="A47" s="3">
        <v>77</v>
      </c>
      <c r="B47" s="4" t="s">
        <v>103</v>
      </c>
      <c r="C47" s="5" t="s">
        <v>104</v>
      </c>
      <c r="D47" s="6">
        <v>41285</v>
      </c>
      <c r="E47" s="7">
        <v>2160</v>
      </c>
      <c r="F47" s="8">
        <v>18101682</v>
      </c>
      <c r="G47" s="9">
        <v>41336</v>
      </c>
      <c r="H47" s="7">
        <v>2160</v>
      </c>
      <c r="I47" s="8">
        <v>40041683</v>
      </c>
    </row>
    <row r="48" spans="1:9" outlineLevel="2" x14ac:dyDescent="0.3">
      <c r="A48" s="3">
        <v>88</v>
      </c>
      <c r="B48" s="4" t="s">
        <v>117</v>
      </c>
      <c r="C48" s="5" t="s">
        <v>104</v>
      </c>
      <c r="D48" s="6">
        <v>41313</v>
      </c>
      <c r="E48" s="7">
        <v>2605</v>
      </c>
      <c r="F48" s="8">
        <v>9303145</v>
      </c>
      <c r="G48" s="9">
        <v>41410</v>
      </c>
      <c r="H48" s="7">
        <v>2605</v>
      </c>
      <c r="I48" s="8">
        <v>32172757</v>
      </c>
    </row>
    <row r="49" spans="1:9" outlineLevel="2" x14ac:dyDescent="0.3">
      <c r="A49" s="3">
        <v>97</v>
      </c>
      <c r="B49" s="4" t="s">
        <v>128</v>
      </c>
      <c r="C49" s="5" t="s">
        <v>104</v>
      </c>
      <c r="D49" s="6">
        <v>41362</v>
      </c>
      <c r="E49" s="7">
        <v>3202</v>
      </c>
      <c r="F49" s="8">
        <v>10600112</v>
      </c>
      <c r="G49" s="9">
        <v>41424</v>
      </c>
      <c r="H49" s="7">
        <v>3202</v>
      </c>
      <c r="I49" s="8">
        <v>26627201</v>
      </c>
    </row>
    <row r="50" spans="1:9" outlineLevel="1" x14ac:dyDescent="0.3">
      <c r="A50" s="3"/>
      <c r="B50" s="4"/>
      <c r="C50" s="44" t="s">
        <v>314</v>
      </c>
      <c r="D50" s="6"/>
      <c r="E50" s="7"/>
      <c r="F50" s="8">
        <f>SUBTOTAL(9,F47:F49)</f>
        <v>38004939</v>
      </c>
      <c r="G50" s="9"/>
      <c r="H50" s="7"/>
      <c r="I50" s="8">
        <f>SUBTOTAL(9,I47:I49)</f>
        <v>98841641</v>
      </c>
    </row>
    <row r="51" spans="1:9" outlineLevel="2" x14ac:dyDescent="0.3">
      <c r="A51" s="3">
        <v>11</v>
      </c>
      <c r="B51" s="4" t="s">
        <v>27</v>
      </c>
      <c r="C51" s="5" t="s">
        <v>28</v>
      </c>
      <c r="D51" s="6">
        <v>41410</v>
      </c>
      <c r="E51" s="7">
        <v>3868</v>
      </c>
      <c r="F51" s="8">
        <v>70165559</v>
      </c>
      <c r="G51" s="9">
        <v>41529</v>
      </c>
      <c r="H51" s="7">
        <v>3907</v>
      </c>
      <c r="I51" s="8">
        <v>228778661</v>
      </c>
    </row>
    <row r="52" spans="1:9" outlineLevel="2" x14ac:dyDescent="0.3">
      <c r="A52" s="3">
        <v>13</v>
      </c>
      <c r="B52" s="4" t="s">
        <v>30</v>
      </c>
      <c r="C52" s="5" t="s">
        <v>28</v>
      </c>
      <c r="D52" s="6">
        <v>41446</v>
      </c>
      <c r="E52" s="7">
        <v>3607</v>
      </c>
      <c r="F52" s="8">
        <v>66411834</v>
      </c>
      <c r="G52" s="9">
        <v>41557</v>
      </c>
      <c r="H52" s="7">
        <v>3607</v>
      </c>
      <c r="I52" s="8">
        <v>202359711</v>
      </c>
    </row>
    <row r="53" spans="1:9" outlineLevel="2" x14ac:dyDescent="0.3">
      <c r="A53" s="3">
        <v>23</v>
      </c>
      <c r="B53" s="4" t="s">
        <v>42</v>
      </c>
      <c r="C53" s="5" t="s">
        <v>28</v>
      </c>
      <c r="D53" s="6">
        <v>41626</v>
      </c>
      <c r="E53" s="7">
        <v>3507</v>
      </c>
      <c r="F53" s="8">
        <v>26232425</v>
      </c>
      <c r="G53" s="9">
        <v>41690</v>
      </c>
      <c r="H53" s="7">
        <v>3507</v>
      </c>
      <c r="I53" s="8">
        <v>125168368</v>
      </c>
    </row>
    <row r="54" spans="1:9" outlineLevel="2" x14ac:dyDescent="0.3">
      <c r="A54" s="3">
        <v>25</v>
      </c>
      <c r="B54" s="4" t="s">
        <v>44</v>
      </c>
      <c r="C54" s="5" t="s">
        <v>28</v>
      </c>
      <c r="D54" s="6">
        <v>41361</v>
      </c>
      <c r="E54" s="7">
        <v>3719</v>
      </c>
      <c r="F54" s="8">
        <v>40501814</v>
      </c>
      <c r="G54" s="9">
        <v>41473</v>
      </c>
      <c r="H54" s="7">
        <v>3734</v>
      </c>
      <c r="I54" s="8">
        <v>122523060</v>
      </c>
    </row>
    <row r="55" spans="1:9" outlineLevel="2" x14ac:dyDescent="0.3">
      <c r="A55" s="3">
        <v>28</v>
      </c>
      <c r="B55" s="4" t="s">
        <v>48</v>
      </c>
      <c r="C55" s="5" t="s">
        <v>28</v>
      </c>
      <c r="D55" s="6">
        <v>41633</v>
      </c>
      <c r="E55" s="7">
        <v>2537</v>
      </c>
      <c r="F55" s="8">
        <v>18361578</v>
      </c>
      <c r="G55" s="9">
        <v>41732</v>
      </c>
      <c r="H55" s="7">
        <v>2557</v>
      </c>
      <c r="I55" s="8">
        <v>116900694</v>
      </c>
    </row>
    <row r="56" spans="1:9" outlineLevel="2" x14ac:dyDescent="0.3">
      <c r="A56" s="3">
        <v>33</v>
      </c>
      <c r="B56" s="4" t="s">
        <v>54</v>
      </c>
      <c r="C56" s="5" t="s">
        <v>28</v>
      </c>
      <c r="D56" s="6">
        <v>41572</v>
      </c>
      <c r="E56" s="7">
        <v>3336</v>
      </c>
      <c r="F56" s="8">
        <v>32055177</v>
      </c>
      <c r="G56" s="9">
        <v>41662</v>
      </c>
      <c r="H56" s="7">
        <v>3345</v>
      </c>
      <c r="I56" s="8">
        <v>102003019</v>
      </c>
    </row>
    <row r="57" spans="1:9" outlineLevel="2" x14ac:dyDescent="0.3">
      <c r="A57" s="3">
        <v>64</v>
      </c>
      <c r="B57" s="4" t="s">
        <v>90</v>
      </c>
      <c r="C57" s="5" t="s">
        <v>28</v>
      </c>
      <c r="D57" s="6">
        <v>41299</v>
      </c>
      <c r="E57" s="7">
        <v>3372</v>
      </c>
      <c r="F57" s="8">
        <v>19690956</v>
      </c>
      <c r="G57" s="9">
        <v>41389</v>
      </c>
      <c r="H57" s="7">
        <v>3375</v>
      </c>
      <c r="I57" s="8">
        <v>55703475</v>
      </c>
    </row>
    <row r="58" spans="1:9" outlineLevel="2" x14ac:dyDescent="0.3">
      <c r="A58" s="3">
        <v>70</v>
      </c>
      <c r="B58" s="4" t="s">
        <v>96</v>
      </c>
      <c r="C58" s="5" t="s">
        <v>28</v>
      </c>
      <c r="D58" s="6">
        <v>41390</v>
      </c>
      <c r="E58" s="7">
        <v>3277</v>
      </c>
      <c r="F58" s="8">
        <v>20244505</v>
      </c>
      <c r="G58" s="9">
        <v>41515</v>
      </c>
      <c r="H58" s="7">
        <v>3303</v>
      </c>
      <c r="I58" s="8">
        <v>49875291</v>
      </c>
    </row>
    <row r="59" spans="1:9" outlineLevel="1" x14ac:dyDescent="0.3">
      <c r="A59" s="3"/>
      <c r="B59" s="4"/>
      <c r="C59" s="44" t="s">
        <v>315</v>
      </c>
      <c r="D59" s="6"/>
      <c r="E59" s="7"/>
      <c r="F59" s="8">
        <f>SUBTOTAL(9,F51:F58)</f>
        <v>293663848</v>
      </c>
      <c r="G59" s="9"/>
      <c r="H59" s="7"/>
      <c r="I59" s="8">
        <f>SUBTOTAL(9,I51:I58)</f>
        <v>1003312279</v>
      </c>
    </row>
    <row r="60" spans="1:9" outlineLevel="2" x14ac:dyDescent="0.3">
      <c r="A60" s="3">
        <v>48</v>
      </c>
      <c r="B60" s="4" t="s">
        <v>70</v>
      </c>
      <c r="C60" s="5" t="s">
        <v>71</v>
      </c>
      <c r="D60" s="6">
        <v>41319</v>
      </c>
      <c r="E60" s="7">
        <v>3223</v>
      </c>
      <c r="F60" s="8">
        <v>21401594</v>
      </c>
      <c r="G60" s="9">
        <v>41424</v>
      </c>
      <c r="H60" s="7">
        <v>3223</v>
      </c>
      <c r="I60" s="8">
        <v>71349120</v>
      </c>
    </row>
    <row r="61" spans="1:9" outlineLevel="2" x14ac:dyDescent="0.3">
      <c r="A61" s="3">
        <v>63</v>
      </c>
      <c r="B61" s="4" t="s">
        <v>89</v>
      </c>
      <c r="C61" s="5" t="s">
        <v>71</v>
      </c>
      <c r="D61" s="6">
        <v>41579</v>
      </c>
      <c r="E61" s="7">
        <v>3736</v>
      </c>
      <c r="F61" s="8">
        <v>15805237</v>
      </c>
      <c r="G61" s="9">
        <v>41718</v>
      </c>
      <c r="H61" s="7">
        <v>3736</v>
      </c>
      <c r="I61" s="8">
        <v>55750480</v>
      </c>
    </row>
    <row r="62" spans="1:9" outlineLevel="2" x14ac:dyDescent="0.3">
      <c r="A62" s="3">
        <v>81</v>
      </c>
      <c r="B62" s="4" t="s">
        <v>108</v>
      </c>
      <c r="C62" s="5" t="s">
        <v>71</v>
      </c>
      <c r="D62" s="6">
        <v>41530</v>
      </c>
      <c r="E62" s="7">
        <v>3091</v>
      </c>
      <c r="F62" s="8">
        <v>14034764</v>
      </c>
      <c r="G62" s="9">
        <v>41648</v>
      </c>
      <c r="H62" s="7">
        <v>3091</v>
      </c>
      <c r="I62" s="8">
        <v>36918811</v>
      </c>
    </row>
    <row r="63" spans="1:9" outlineLevel="2" x14ac:dyDescent="0.3">
      <c r="A63" s="3">
        <v>99</v>
      </c>
      <c r="B63" s="4" t="s">
        <v>130</v>
      </c>
      <c r="C63" s="5" t="s">
        <v>71</v>
      </c>
      <c r="D63" s="6">
        <v>41334</v>
      </c>
      <c r="E63" s="7">
        <v>2771</v>
      </c>
      <c r="F63" s="8">
        <v>8754168</v>
      </c>
      <c r="G63" s="9">
        <v>41410</v>
      </c>
      <c r="H63" s="7">
        <v>2771</v>
      </c>
      <c r="I63" s="8">
        <v>25682380</v>
      </c>
    </row>
    <row r="64" spans="1:9" outlineLevel="1" x14ac:dyDescent="0.3">
      <c r="A64" s="3"/>
      <c r="B64" s="4"/>
      <c r="C64" s="44" t="s">
        <v>316</v>
      </c>
      <c r="D64" s="6"/>
      <c r="E64" s="7"/>
      <c r="F64" s="8">
        <f>SUBTOTAL(9,F60:F63)</f>
        <v>59995763</v>
      </c>
      <c r="G64" s="9"/>
      <c r="H64" s="7"/>
      <c r="I64" s="8">
        <f>SUBTOTAL(9,I60:I63)</f>
        <v>189700791</v>
      </c>
    </row>
    <row r="65" spans="1:9" outlineLevel="2" x14ac:dyDescent="0.3">
      <c r="A65" s="3">
        <v>83</v>
      </c>
      <c r="B65" s="4" t="s">
        <v>110</v>
      </c>
      <c r="C65" s="5" t="s">
        <v>111</v>
      </c>
      <c r="D65" s="6">
        <v>41565</v>
      </c>
      <c r="E65" s="7">
        <v>3157</v>
      </c>
      <c r="F65" s="8">
        <v>16101552</v>
      </c>
      <c r="G65" s="9">
        <v>41602</v>
      </c>
      <c r="H65" s="7">
        <v>3157</v>
      </c>
      <c r="I65" s="8">
        <v>35266619</v>
      </c>
    </row>
    <row r="66" spans="1:9" outlineLevel="2" x14ac:dyDescent="0.3">
      <c r="A66" s="3">
        <v>90</v>
      </c>
      <c r="B66" s="4" t="s">
        <v>120</v>
      </c>
      <c r="C66" s="5" t="s">
        <v>111</v>
      </c>
      <c r="D66" s="6">
        <v>41507</v>
      </c>
      <c r="E66" s="7">
        <v>3118</v>
      </c>
      <c r="F66" s="8">
        <v>9336957</v>
      </c>
      <c r="G66" s="9">
        <v>41553</v>
      </c>
      <c r="H66" s="7">
        <v>3118</v>
      </c>
      <c r="I66" s="8">
        <v>31165421</v>
      </c>
    </row>
    <row r="67" spans="1:9" outlineLevel="1" x14ac:dyDescent="0.3">
      <c r="A67" s="3"/>
      <c r="B67" s="4"/>
      <c r="C67" s="44" t="s">
        <v>317</v>
      </c>
      <c r="D67" s="6"/>
      <c r="E67" s="7"/>
      <c r="F67" s="8">
        <f>SUBTOTAL(9,F65:F66)</f>
        <v>25438509</v>
      </c>
      <c r="G67" s="9"/>
      <c r="H67" s="7"/>
      <c r="I67" s="8">
        <f>SUBTOTAL(9,I65:I66)</f>
        <v>66432040</v>
      </c>
    </row>
    <row r="68" spans="1:9" outlineLevel="2" x14ac:dyDescent="0.3">
      <c r="A68" s="3">
        <v>17</v>
      </c>
      <c r="B68" s="4" t="s">
        <v>35</v>
      </c>
      <c r="C68" s="5" t="s">
        <v>36</v>
      </c>
      <c r="D68" s="6">
        <v>41621</v>
      </c>
      <c r="E68" s="7">
        <v>6</v>
      </c>
      <c r="F68" s="8">
        <v>740455</v>
      </c>
      <c r="G68" s="9">
        <v>41735</v>
      </c>
      <c r="H68" s="7">
        <v>2629</v>
      </c>
      <c r="I68" s="8">
        <v>150117807</v>
      </c>
    </row>
    <row r="69" spans="1:9" outlineLevel="2" x14ac:dyDescent="0.3">
      <c r="A69" s="3">
        <v>21</v>
      </c>
      <c r="B69" s="4" t="s">
        <v>40</v>
      </c>
      <c r="C69" s="5" t="s">
        <v>36</v>
      </c>
      <c r="D69" s="6">
        <v>41467</v>
      </c>
      <c r="E69" s="7">
        <v>3491</v>
      </c>
      <c r="F69" s="8">
        <v>41508572</v>
      </c>
      <c r="G69" s="9">
        <v>41595</v>
      </c>
      <c r="H69" s="7">
        <v>3491</v>
      </c>
      <c r="I69" s="8">
        <v>133668525</v>
      </c>
    </row>
    <row r="70" spans="1:9" outlineLevel="2" x14ac:dyDescent="0.3">
      <c r="A70" s="3">
        <v>26</v>
      </c>
      <c r="B70" s="4" t="s">
        <v>45</v>
      </c>
      <c r="C70" s="5" t="s">
        <v>36</v>
      </c>
      <c r="D70" s="6">
        <v>41544</v>
      </c>
      <c r="E70" s="7">
        <v>4001</v>
      </c>
      <c r="F70" s="8">
        <v>34017930</v>
      </c>
      <c r="G70" s="9">
        <v>41714</v>
      </c>
      <c r="H70" s="7">
        <v>4001</v>
      </c>
      <c r="I70" s="8">
        <v>119793567</v>
      </c>
    </row>
    <row r="71" spans="1:9" outlineLevel="2" x14ac:dyDescent="0.3">
      <c r="A71" s="3">
        <v>32</v>
      </c>
      <c r="B71" s="4" t="s">
        <v>53</v>
      </c>
      <c r="C71" s="5" t="s">
        <v>36</v>
      </c>
      <c r="D71" s="6">
        <v>41558</v>
      </c>
      <c r="E71" s="7">
        <v>3020</v>
      </c>
      <c r="F71" s="8">
        <v>25718314</v>
      </c>
      <c r="G71" s="9">
        <v>41700</v>
      </c>
      <c r="H71" s="7">
        <v>3143</v>
      </c>
      <c r="I71" s="8">
        <v>107100855</v>
      </c>
    </row>
    <row r="72" spans="1:9" outlineLevel="2" x14ac:dyDescent="0.3">
      <c r="A72" s="3">
        <v>35</v>
      </c>
      <c r="B72" s="4" t="s">
        <v>56</v>
      </c>
      <c r="C72" s="5" t="s">
        <v>36</v>
      </c>
      <c r="D72" s="6">
        <v>41437</v>
      </c>
      <c r="E72" s="7">
        <v>3055</v>
      </c>
      <c r="F72" s="8">
        <v>20719162</v>
      </c>
      <c r="G72" s="9">
        <v>41553</v>
      </c>
      <c r="H72" s="7">
        <v>3055</v>
      </c>
      <c r="I72" s="8">
        <v>101470202</v>
      </c>
    </row>
    <row r="73" spans="1:9" outlineLevel="2" x14ac:dyDescent="0.3">
      <c r="A73" s="3">
        <v>46</v>
      </c>
      <c r="B73" s="4" t="s">
        <v>68</v>
      </c>
      <c r="C73" s="5" t="s">
        <v>36</v>
      </c>
      <c r="D73" s="6">
        <v>41453</v>
      </c>
      <c r="E73" s="7">
        <v>3222</v>
      </c>
      <c r="F73" s="8">
        <v>24852258</v>
      </c>
      <c r="G73" s="9">
        <v>41532</v>
      </c>
      <c r="H73" s="7">
        <v>3222</v>
      </c>
      <c r="I73" s="8">
        <v>73103784</v>
      </c>
    </row>
    <row r="74" spans="1:9" outlineLevel="2" x14ac:dyDescent="0.3">
      <c r="A74" s="3">
        <v>49</v>
      </c>
      <c r="B74" s="4" t="s">
        <v>72</v>
      </c>
      <c r="C74" s="5" t="s">
        <v>36</v>
      </c>
      <c r="D74" s="6">
        <v>41486</v>
      </c>
      <c r="E74" s="7">
        <v>3866</v>
      </c>
      <c r="F74" s="8">
        <v>17548389</v>
      </c>
      <c r="G74" s="9">
        <v>41595</v>
      </c>
      <c r="H74" s="7">
        <v>3867</v>
      </c>
      <c r="I74" s="8">
        <v>71017784</v>
      </c>
    </row>
    <row r="75" spans="1:9" outlineLevel="2" x14ac:dyDescent="0.3">
      <c r="A75" s="3">
        <v>59</v>
      </c>
      <c r="B75" s="4" t="s">
        <v>84</v>
      </c>
      <c r="C75" s="5" t="s">
        <v>36</v>
      </c>
      <c r="D75" s="6">
        <v>41425</v>
      </c>
      <c r="E75" s="7">
        <v>3401</v>
      </c>
      <c r="F75" s="8">
        <v>27520040</v>
      </c>
      <c r="G75" s="9">
        <v>41504</v>
      </c>
      <c r="H75" s="7">
        <v>3401</v>
      </c>
      <c r="I75" s="8">
        <v>60522097</v>
      </c>
    </row>
    <row r="76" spans="1:9" outlineLevel="1" x14ac:dyDescent="0.3">
      <c r="A76" s="3"/>
      <c r="B76" s="4"/>
      <c r="C76" s="44" t="s">
        <v>318</v>
      </c>
      <c r="D76" s="6"/>
      <c r="E76" s="7"/>
      <c r="F76" s="8">
        <f>SUBTOTAL(9,F68:F75)</f>
        <v>192625120</v>
      </c>
      <c r="G76" s="9"/>
      <c r="H76" s="7"/>
      <c r="I76" s="8">
        <f>SUBTOTAL(9,I68:I75)</f>
        <v>816794621</v>
      </c>
    </row>
    <row r="77" spans="1:9" outlineLevel="2" x14ac:dyDescent="0.3">
      <c r="A77" s="3">
        <v>86</v>
      </c>
      <c r="B77" s="4" t="s">
        <v>114</v>
      </c>
      <c r="C77" s="5" t="s">
        <v>115</v>
      </c>
      <c r="D77" s="6">
        <v>41481</v>
      </c>
      <c r="E77" s="7">
        <v>6</v>
      </c>
      <c r="F77" s="8">
        <v>612064</v>
      </c>
      <c r="G77" s="9">
        <v>41732</v>
      </c>
      <c r="H77" s="7">
        <v>1283</v>
      </c>
      <c r="I77" s="8">
        <v>33405481</v>
      </c>
    </row>
    <row r="78" spans="1:9" outlineLevel="1" x14ac:dyDescent="0.3">
      <c r="A78" s="3"/>
      <c r="B78" s="4"/>
      <c r="C78" s="44" t="s">
        <v>319</v>
      </c>
      <c r="D78" s="6"/>
      <c r="E78" s="7"/>
      <c r="F78" s="8">
        <f>SUBTOTAL(9,F77:F77)</f>
        <v>612064</v>
      </c>
      <c r="G78" s="9"/>
      <c r="H78" s="7"/>
      <c r="I78" s="8">
        <f>SUBTOTAL(9,I77:I77)</f>
        <v>33405481</v>
      </c>
    </row>
    <row r="79" spans="1:9" outlineLevel="2" x14ac:dyDescent="0.3">
      <c r="A79" s="3">
        <v>38</v>
      </c>
      <c r="B79" s="4" t="s">
        <v>59</v>
      </c>
      <c r="C79" s="5" t="s">
        <v>60</v>
      </c>
      <c r="D79" s="6">
        <v>41495</v>
      </c>
      <c r="E79" s="7">
        <v>3284</v>
      </c>
      <c r="F79" s="8">
        <v>29807393</v>
      </c>
      <c r="G79" s="9">
        <v>41602</v>
      </c>
      <c r="H79" s="7">
        <v>3284</v>
      </c>
      <c r="I79" s="8">
        <v>93050117</v>
      </c>
    </row>
    <row r="80" spans="1:9" outlineLevel="2" x14ac:dyDescent="0.3">
      <c r="A80" s="3">
        <v>65</v>
      </c>
      <c r="B80" s="4" t="s">
        <v>91</v>
      </c>
      <c r="C80" s="5" t="s">
        <v>60</v>
      </c>
      <c r="D80" s="6">
        <v>41369</v>
      </c>
      <c r="E80" s="7">
        <v>3025</v>
      </c>
      <c r="F80" s="8">
        <v>25775847</v>
      </c>
      <c r="G80" s="9">
        <v>41434</v>
      </c>
      <c r="H80" s="7">
        <v>3025</v>
      </c>
      <c r="I80" s="8">
        <v>54239856</v>
      </c>
    </row>
    <row r="81" spans="1:9" outlineLevel="2" x14ac:dyDescent="0.3">
      <c r="A81" s="3">
        <v>69</v>
      </c>
      <c r="B81" s="4" t="s">
        <v>95</v>
      </c>
      <c r="C81" s="5" t="s">
        <v>60</v>
      </c>
      <c r="D81" s="6">
        <v>41348</v>
      </c>
      <c r="E81" s="7">
        <v>2507</v>
      </c>
      <c r="F81" s="8">
        <v>17118745</v>
      </c>
      <c r="G81" s="9">
        <v>41434</v>
      </c>
      <c r="H81" s="7">
        <v>2507</v>
      </c>
      <c r="I81" s="8">
        <v>51872378</v>
      </c>
    </row>
    <row r="82" spans="1:9" outlineLevel="2" x14ac:dyDescent="0.3">
      <c r="A82" s="3">
        <v>93</v>
      </c>
      <c r="B82" s="4" t="s">
        <v>123</v>
      </c>
      <c r="C82" s="5" t="s">
        <v>60</v>
      </c>
      <c r="D82" s="6">
        <v>41516</v>
      </c>
      <c r="E82" s="7">
        <v>2735</v>
      </c>
      <c r="F82" s="8">
        <v>15815497</v>
      </c>
      <c r="G82" s="9">
        <v>41553</v>
      </c>
      <c r="H82" s="7">
        <v>2735</v>
      </c>
      <c r="I82" s="8">
        <v>28873374</v>
      </c>
    </row>
    <row r="83" spans="1:9" outlineLevel="1" x14ac:dyDescent="0.3">
      <c r="A83" s="3"/>
      <c r="B83" s="4"/>
      <c r="C83" s="44" t="s">
        <v>320</v>
      </c>
      <c r="D83" s="6"/>
      <c r="E83" s="7"/>
      <c r="F83" s="8">
        <f>SUBTOTAL(9,F79:F82)</f>
        <v>88517482</v>
      </c>
      <c r="G83" s="9"/>
      <c r="H83" s="7"/>
      <c r="I83" s="8">
        <f>SUBTOTAL(9,I79:I82)</f>
        <v>228035725</v>
      </c>
    </row>
    <row r="84" spans="1:9" outlineLevel="2" x14ac:dyDescent="0.3">
      <c r="A84" s="3">
        <v>4</v>
      </c>
      <c r="B84" s="4" t="s">
        <v>18</v>
      </c>
      <c r="C84" s="5" t="s">
        <v>19</v>
      </c>
      <c r="D84" s="6">
        <v>41458</v>
      </c>
      <c r="E84" s="7">
        <v>3997</v>
      </c>
      <c r="F84" s="8">
        <v>83517315</v>
      </c>
      <c r="G84" s="9">
        <v>41655</v>
      </c>
      <c r="H84" s="7">
        <v>4003</v>
      </c>
      <c r="I84" s="8">
        <v>368061265</v>
      </c>
    </row>
    <row r="85" spans="1:9" outlineLevel="2" x14ac:dyDescent="0.3">
      <c r="A85" s="3">
        <v>9</v>
      </c>
      <c r="B85" s="4" t="s">
        <v>25</v>
      </c>
      <c r="C85" s="5" t="s">
        <v>19</v>
      </c>
      <c r="D85" s="6">
        <v>41418</v>
      </c>
      <c r="E85" s="7">
        <v>3658</v>
      </c>
      <c r="F85" s="8">
        <v>97375245</v>
      </c>
      <c r="G85" s="9">
        <v>41522</v>
      </c>
      <c r="H85" s="7">
        <v>3771</v>
      </c>
      <c r="I85" s="8">
        <v>238679850</v>
      </c>
    </row>
    <row r="86" spans="1:9" outlineLevel="2" x14ac:dyDescent="0.3">
      <c r="A86" s="3">
        <v>20</v>
      </c>
      <c r="B86" s="4" t="s">
        <v>39</v>
      </c>
      <c r="C86" s="5" t="s">
        <v>19</v>
      </c>
      <c r="D86" s="6">
        <v>41313</v>
      </c>
      <c r="E86" s="7">
        <v>3141</v>
      </c>
      <c r="F86" s="8">
        <v>34551025</v>
      </c>
      <c r="G86" s="9">
        <v>41431</v>
      </c>
      <c r="H86" s="7">
        <v>3230</v>
      </c>
      <c r="I86" s="8">
        <v>134506920</v>
      </c>
    </row>
    <row r="87" spans="1:9" outlineLevel="2" x14ac:dyDescent="0.3">
      <c r="A87" s="3">
        <v>24</v>
      </c>
      <c r="B87" s="4" t="s">
        <v>43</v>
      </c>
      <c r="C87" s="5" t="s">
        <v>19</v>
      </c>
      <c r="D87" s="6">
        <v>41633</v>
      </c>
      <c r="E87" s="7">
        <v>2</v>
      </c>
      <c r="F87" s="8">
        <v>90872</v>
      </c>
      <c r="G87" s="9">
        <v>41739</v>
      </c>
      <c r="H87" s="7">
        <v>3285</v>
      </c>
      <c r="I87" s="8">
        <v>125095601</v>
      </c>
    </row>
    <row r="88" spans="1:9" outlineLevel="2" x14ac:dyDescent="0.3">
      <c r="A88" s="3">
        <v>41</v>
      </c>
      <c r="B88" s="4" t="s">
        <v>63</v>
      </c>
      <c r="C88" s="5" t="s">
        <v>19</v>
      </c>
      <c r="D88" s="6">
        <v>41383</v>
      </c>
      <c r="E88" s="7">
        <v>3783</v>
      </c>
      <c r="F88" s="8">
        <v>37054485</v>
      </c>
      <c r="G88" s="9">
        <v>41452</v>
      </c>
      <c r="H88" s="7">
        <v>3792</v>
      </c>
      <c r="I88" s="8">
        <v>89107235</v>
      </c>
    </row>
    <row r="89" spans="1:9" outlineLevel="2" x14ac:dyDescent="0.3">
      <c r="A89" s="3">
        <v>45</v>
      </c>
      <c r="B89" s="4" t="s">
        <v>67</v>
      </c>
      <c r="C89" s="5" t="s">
        <v>19</v>
      </c>
      <c r="D89" s="6">
        <v>41488</v>
      </c>
      <c r="E89" s="7">
        <v>3025</v>
      </c>
      <c r="F89" s="8">
        <v>27059130</v>
      </c>
      <c r="G89" s="9">
        <v>41571</v>
      </c>
      <c r="H89" s="7">
        <v>3028</v>
      </c>
      <c r="I89" s="8">
        <v>75612460</v>
      </c>
    </row>
    <row r="90" spans="1:9" outlineLevel="2" x14ac:dyDescent="0.3">
      <c r="A90" s="3">
        <v>47</v>
      </c>
      <c r="B90" s="4" t="s">
        <v>69</v>
      </c>
      <c r="C90" s="5" t="s">
        <v>19</v>
      </c>
      <c r="D90" s="6">
        <v>41292</v>
      </c>
      <c r="E90" s="7">
        <v>2647</v>
      </c>
      <c r="F90" s="8">
        <v>28402310</v>
      </c>
      <c r="G90" s="9">
        <v>41368</v>
      </c>
      <c r="H90" s="7">
        <v>2781</v>
      </c>
      <c r="I90" s="8">
        <v>71628180</v>
      </c>
    </row>
    <row r="91" spans="1:9" outlineLevel="2" x14ac:dyDescent="0.3">
      <c r="A91" s="3">
        <v>50</v>
      </c>
      <c r="B91" s="4" t="s">
        <v>73</v>
      </c>
      <c r="C91" s="5" t="s">
        <v>19</v>
      </c>
      <c r="D91" s="6">
        <v>41593</v>
      </c>
      <c r="E91" s="7">
        <v>2024</v>
      </c>
      <c r="F91" s="8">
        <v>30107555</v>
      </c>
      <c r="G91" s="9">
        <v>41648</v>
      </c>
      <c r="H91" s="7">
        <v>2041</v>
      </c>
      <c r="I91" s="8">
        <v>70525195</v>
      </c>
    </row>
    <row r="92" spans="1:9" outlineLevel="2" x14ac:dyDescent="0.3">
      <c r="A92" s="3">
        <v>55</v>
      </c>
      <c r="B92" s="4" t="s">
        <v>79</v>
      </c>
      <c r="C92" s="5" t="s">
        <v>19</v>
      </c>
      <c r="D92" s="6">
        <v>41432</v>
      </c>
      <c r="E92" s="7">
        <v>2536</v>
      </c>
      <c r="F92" s="8">
        <v>34058360</v>
      </c>
      <c r="G92" s="9">
        <v>41494</v>
      </c>
      <c r="H92" s="7">
        <v>2591</v>
      </c>
      <c r="I92" s="8">
        <v>64473115</v>
      </c>
    </row>
    <row r="93" spans="1:9" outlineLevel="2" x14ac:dyDescent="0.3">
      <c r="A93" s="3">
        <v>72</v>
      </c>
      <c r="B93" s="4" t="s">
        <v>98</v>
      </c>
      <c r="C93" s="5" t="s">
        <v>19</v>
      </c>
      <c r="D93" s="6">
        <v>41369</v>
      </c>
      <c r="E93" s="7">
        <v>2771</v>
      </c>
      <c r="F93" s="8">
        <v>18620145</v>
      </c>
      <c r="G93" s="9">
        <v>41417</v>
      </c>
      <c r="H93" s="7">
        <v>2778</v>
      </c>
      <c r="I93" s="8">
        <v>45385935</v>
      </c>
    </row>
    <row r="94" spans="1:9" outlineLevel="2" x14ac:dyDescent="0.3">
      <c r="A94" s="3">
        <v>76</v>
      </c>
      <c r="B94" s="4" t="s">
        <v>102</v>
      </c>
      <c r="C94" s="5" t="s">
        <v>19</v>
      </c>
      <c r="D94" s="6">
        <v>41523</v>
      </c>
      <c r="E94" s="7">
        <v>3107</v>
      </c>
      <c r="F94" s="8">
        <v>19030375</v>
      </c>
      <c r="G94" s="9">
        <v>41578</v>
      </c>
      <c r="H94" s="7">
        <v>3117</v>
      </c>
      <c r="I94" s="8">
        <v>42025135</v>
      </c>
    </row>
    <row r="95" spans="1:9" outlineLevel="2" x14ac:dyDescent="0.3">
      <c r="A95" s="3">
        <v>78</v>
      </c>
      <c r="B95" s="4" t="s">
        <v>105</v>
      </c>
      <c r="C95" s="5" t="s">
        <v>19</v>
      </c>
      <c r="D95" s="6">
        <v>41633</v>
      </c>
      <c r="E95" s="7">
        <v>2689</v>
      </c>
      <c r="F95" s="8">
        <v>9910310</v>
      </c>
      <c r="G95" s="9">
        <v>41676</v>
      </c>
      <c r="H95" s="7">
        <v>2690</v>
      </c>
      <c r="I95" s="8">
        <v>38362475</v>
      </c>
    </row>
    <row r="96" spans="1:9" outlineLevel="2" x14ac:dyDescent="0.3">
      <c r="A96" s="3">
        <v>85</v>
      </c>
      <c r="B96" s="4" t="s">
        <v>113</v>
      </c>
      <c r="C96" s="5" t="s">
        <v>19</v>
      </c>
      <c r="D96" s="6">
        <v>41474</v>
      </c>
      <c r="E96" s="7">
        <v>2852</v>
      </c>
      <c r="F96" s="8">
        <v>12691415</v>
      </c>
      <c r="G96" s="9">
        <v>41543</v>
      </c>
      <c r="H96" s="7">
        <v>2852</v>
      </c>
      <c r="I96" s="8">
        <v>33618855</v>
      </c>
    </row>
    <row r="97" spans="1:9" outlineLevel="2" x14ac:dyDescent="0.3">
      <c r="A97" s="3">
        <v>94</v>
      </c>
      <c r="B97" s="4" t="s">
        <v>124</v>
      </c>
      <c r="C97" s="5" t="s">
        <v>19</v>
      </c>
      <c r="D97" s="6">
        <v>41502</v>
      </c>
      <c r="E97" s="7">
        <v>2940</v>
      </c>
      <c r="F97" s="8">
        <v>13332955</v>
      </c>
      <c r="G97" s="9">
        <v>41543</v>
      </c>
      <c r="H97" s="7">
        <v>2945</v>
      </c>
      <c r="I97" s="8">
        <v>28795985</v>
      </c>
    </row>
    <row r="98" spans="1:9" outlineLevel="2" x14ac:dyDescent="0.3">
      <c r="A98" s="3">
        <v>96</v>
      </c>
      <c r="B98" s="4" t="s">
        <v>127</v>
      </c>
      <c r="C98" s="5" t="s">
        <v>19</v>
      </c>
      <c r="D98" s="6">
        <v>41537</v>
      </c>
      <c r="E98" s="7">
        <v>5</v>
      </c>
      <c r="F98" s="8">
        <v>187289</v>
      </c>
      <c r="G98" s="9">
        <v>41599</v>
      </c>
      <c r="H98" s="7">
        <v>2308</v>
      </c>
      <c r="I98" s="8">
        <v>26947624</v>
      </c>
    </row>
    <row r="99" spans="1:9" outlineLevel="1" x14ac:dyDescent="0.3">
      <c r="A99" s="3"/>
      <c r="B99" s="4"/>
      <c r="C99" s="44" t="s">
        <v>321</v>
      </c>
      <c r="D99" s="6"/>
      <c r="E99" s="7"/>
      <c r="F99" s="8">
        <f>SUBTOTAL(9,F84:F98)</f>
        <v>445988786</v>
      </c>
      <c r="G99" s="9"/>
      <c r="H99" s="7"/>
      <c r="I99" s="8">
        <f>SUBTOTAL(9,I84:I98)</f>
        <v>1452825830</v>
      </c>
    </row>
    <row r="100" spans="1:9" outlineLevel="2" x14ac:dyDescent="0.3">
      <c r="A100" s="3">
        <v>89</v>
      </c>
      <c r="B100" s="4" t="s">
        <v>118</v>
      </c>
      <c r="C100" s="5" t="s">
        <v>119</v>
      </c>
      <c r="D100" s="6">
        <v>41376</v>
      </c>
      <c r="E100" s="7">
        <v>3402</v>
      </c>
      <c r="F100" s="8">
        <v>14157367</v>
      </c>
      <c r="G100" s="9">
        <v>41480</v>
      </c>
      <c r="H100" s="7">
        <v>3402</v>
      </c>
      <c r="I100" s="8">
        <v>32015787</v>
      </c>
    </row>
    <row r="101" spans="1:9" ht="31.2" outlineLevel="1" x14ac:dyDescent="0.3">
      <c r="A101" s="3"/>
      <c r="B101" s="4"/>
      <c r="C101" s="44" t="s">
        <v>322</v>
      </c>
      <c r="D101" s="6"/>
      <c r="E101" s="7"/>
      <c r="F101" s="8">
        <f>SUBTOTAL(9,F100:F100)</f>
        <v>14157367</v>
      </c>
      <c r="G101" s="9"/>
      <c r="H101" s="7"/>
      <c r="I101" s="8">
        <f>SUBTOTAL(9,I100:I100)</f>
        <v>32015787</v>
      </c>
    </row>
    <row r="102" spans="1:9" outlineLevel="2" x14ac:dyDescent="0.3">
      <c r="A102" s="3">
        <v>5</v>
      </c>
      <c r="B102" s="4" t="s">
        <v>20</v>
      </c>
      <c r="C102" s="5" t="s">
        <v>21</v>
      </c>
      <c r="D102" s="6">
        <v>41439</v>
      </c>
      <c r="E102" s="7">
        <v>4207</v>
      </c>
      <c r="F102" s="8">
        <v>116619362</v>
      </c>
      <c r="G102" s="9">
        <v>41536</v>
      </c>
      <c r="H102" s="7">
        <v>4207</v>
      </c>
      <c r="I102" s="8">
        <v>291045518</v>
      </c>
    </row>
    <row r="103" spans="1:9" outlineLevel="2" x14ac:dyDescent="0.3">
      <c r="A103" s="3">
        <v>6</v>
      </c>
      <c r="B103" s="4" t="s">
        <v>22</v>
      </c>
      <c r="C103" s="5" t="s">
        <v>21</v>
      </c>
      <c r="D103" s="6">
        <v>41551</v>
      </c>
      <c r="E103" s="7">
        <v>3575</v>
      </c>
      <c r="F103" s="8">
        <v>55785112</v>
      </c>
      <c r="G103" s="9">
        <v>41767</v>
      </c>
      <c r="H103" s="7">
        <v>3820</v>
      </c>
      <c r="I103" s="8">
        <v>274092705</v>
      </c>
    </row>
    <row r="104" spans="1:9" outlineLevel="2" x14ac:dyDescent="0.3">
      <c r="A104" s="3">
        <v>8</v>
      </c>
      <c r="B104" s="4" t="s">
        <v>24</v>
      </c>
      <c r="C104" s="5" t="s">
        <v>21</v>
      </c>
      <c r="D104" s="6">
        <v>41621</v>
      </c>
      <c r="E104" s="7">
        <v>3903</v>
      </c>
      <c r="F104" s="8">
        <v>73645197</v>
      </c>
      <c r="G104" s="9">
        <v>41746</v>
      </c>
      <c r="H104" s="7">
        <v>3928</v>
      </c>
      <c r="I104" s="8">
        <v>258366855</v>
      </c>
    </row>
    <row r="105" spans="1:9" outlineLevel="2" x14ac:dyDescent="0.3">
      <c r="A105" s="3">
        <v>16</v>
      </c>
      <c r="B105" s="4" t="s">
        <v>34</v>
      </c>
      <c r="C105" s="5" t="s">
        <v>21</v>
      </c>
      <c r="D105" s="6">
        <v>41493</v>
      </c>
      <c r="E105" s="7">
        <v>3260</v>
      </c>
      <c r="F105" s="8">
        <v>26419396</v>
      </c>
      <c r="G105" s="9">
        <v>41613</v>
      </c>
      <c r="H105" s="7">
        <v>3445</v>
      </c>
      <c r="I105" s="8">
        <v>150394119</v>
      </c>
    </row>
    <row r="106" spans="1:9" outlineLevel="2" x14ac:dyDescent="0.3">
      <c r="A106" s="3">
        <v>18</v>
      </c>
      <c r="B106" s="4" t="s">
        <v>37</v>
      </c>
      <c r="C106" s="5" t="s">
        <v>21</v>
      </c>
      <c r="D106" s="6">
        <v>41404</v>
      </c>
      <c r="E106" s="7">
        <v>3535</v>
      </c>
      <c r="F106" s="8">
        <v>50085185</v>
      </c>
      <c r="G106" s="9">
        <v>41508</v>
      </c>
      <c r="H106" s="7">
        <v>3550</v>
      </c>
      <c r="I106" s="8">
        <v>144840419</v>
      </c>
    </row>
    <row r="107" spans="1:9" outlineLevel="2" x14ac:dyDescent="0.3">
      <c r="A107" s="3">
        <v>19</v>
      </c>
      <c r="B107" s="4" t="s">
        <v>38</v>
      </c>
      <c r="C107" s="5" t="s">
        <v>21</v>
      </c>
      <c r="D107" s="6">
        <v>41474</v>
      </c>
      <c r="E107" s="7">
        <v>2903</v>
      </c>
      <c r="F107" s="8">
        <v>41855326</v>
      </c>
      <c r="G107" s="9">
        <v>41578</v>
      </c>
      <c r="H107" s="7">
        <v>3115</v>
      </c>
      <c r="I107" s="8">
        <v>137400141</v>
      </c>
    </row>
    <row r="108" spans="1:9" outlineLevel="2" x14ac:dyDescent="0.3">
      <c r="A108" s="3">
        <v>30</v>
      </c>
      <c r="B108" s="4" t="s">
        <v>51</v>
      </c>
      <c r="C108" s="5" t="s">
        <v>21</v>
      </c>
      <c r="D108" s="6">
        <v>41417</v>
      </c>
      <c r="E108" s="7">
        <v>3555</v>
      </c>
      <c r="F108" s="8">
        <v>41671198</v>
      </c>
      <c r="G108" s="9">
        <v>41501</v>
      </c>
      <c r="H108" s="7">
        <v>3565</v>
      </c>
      <c r="I108" s="8">
        <v>112200072</v>
      </c>
    </row>
    <row r="109" spans="1:9" outlineLevel="2" x14ac:dyDescent="0.3">
      <c r="A109" s="3">
        <v>34</v>
      </c>
      <c r="B109" s="4" t="s">
        <v>55</v>
      </c>
      <c r="C109" s="5" t="s">
        <v>21</v>
      </c>
      <c r="D109" s="6">
        <v>41467</v>
      </c>
      <c r="E109" s="7">
        <v>3275</v>
      </c>
      <c r="F109" s="8">
        <v>37285325</v>
      </c>
      <c r="G109" s="9">
        <v>41564</v>
      </c>
      <c r="H109" s="7">
        <v>3285</v>
      </c>
      <c r="I109" s="8">
        <v>101802906</v>
      </c>
    </row>
    <row r="110" spans="1:9" outlineLevel="2" x14ac:dyDescent="0.3">
      <c r="A110" s="3">
        <v>37</v>
      </c>
      <c r="B110" s="4">
        <v>42</v>
      </c>
      <c r="C110" s="5" t="s">
        <v>21</v>
      </c>
      <c r="D110" s="6">
        <v>41376</v>
      </c>
      <c r="E110" s="7">
        <v>3003</v>
      </c>
      <c r="F110" s="8">
        <v>27487144</v>
      </c>
      <c r="G110" s="9">
        <v>41480</v>
      </c>
      <c r="H110" s="7">
        <v>3405</v>
      </c>
      <c r="I110" s="8">
        <v>95020213</v>
      </c>
    </row>
    <row r="111" spans="1:9" outlineLevel="2" x14ac:dyDescent="0.3">
      <c r="A111" s="3">
        <v>58</v>
      </c>
      <c r="B111" s="4" t="s">
        <v>83</v>
      </c>
      <c r="C111" s="5" t="s">
        <v>21</v>
      </c>
      <c r="D111" s="6">
        <v>41537</v>
      </c>
      <c r="E111" s="7">
        <v>3260</v>
      </c>
      <c r="F111" s="8">
        <v>20817053</v>
      </c>
      <c r="G111" s="9">
        <v>41613</v>
      </c>
      <c r="H111" s="7">
        <v>3290</v>
      </c>
      <c r="I111" s="8">
        <v>61002302</v>
      </c>
    </row>
    <row r="112" spans="1:9" outlineLevel="2" x14ac:dyDescent="0.3">
      <c r="A112" s="3">
        <v>71</v>
      </c>
      <c r="B112" s="4" t="s">
        <v>97</v>
      </c>
      <c r="C112" s="5" t="s">
        <v>21</v>
      </c>
      <c r="D112" s="6">
        <v>41285</v>
      </c>
      <c r="E112" s="7">
        <v>3103</v>
      </c>
      <c r="F112" s="8">
        <v>17070347</v>
      </c>
      <c r="G112" s="9">
        <v>41368</v>
      </c>
      <c r="H112" s="7">
        <v>3103</v>
      </c>
      <c r="I112" s="8">
        <v>46000903</v>
      </c>
    </row>
    <row r="113" spans="1:9" outlineLevel="2" x14ac:dyDescent="0.3">
      <c r="A113" s="3">
        <v>92</v>
      </c>
      <c r="B113" s="4" t="s">
        <v>122</v>
      </c>
      <c r="C113" s="5" t="s">
        <v>21</v>
      </c>
      <c r="D113" s="6">
        <v>41633</v>
      </c>
      <c r="E113" s="7">
        <v>2838</v>
      </c>
      <c r="F113" s="8">
        <v>7021993</v>
      </c>
      <c r="G113" s="9">
        <v>41711</v>
      </c>
      <c r="H113" s="7">
        <v>2856</v>
      </c>
      <c r="I113" s="8">
        <v>29807260</v>
      </c>
    </row>
    <row r="114" spans="1:9" outlineLevel="2" x14ac:dyDescent="0.3">
      <c r="A114" s="3">
        <v>100</v>
      </c>
      <c r="B114" s="4" t="s">
        <v>131</v>
      </c>
      <c r="C114" s="5" t="s">
        <v>21</v>
      </c>
      <c r="D114" s="6">
        <v>41626</v>
      </c>
      <c r="E114" s="7">
        <v>6</v>
      </c>
      <c r="F114" s="8">
        <v>260382</v>
      </c>
      <c r="G114" s="9">
        <v>41746</v>
      </c>
      <c r="H114" s="7">
        <v>1729</v>
      </c>
      <c r="I114" s="8">
        <v>25568251</v>
      </c>
    </row>
    <row r="115" spans="1:9" outlineLevel="1" x14ac:dyDescent="0.3">
      <c r="A115" s="3"/>
      <c r="B115" s="4"/>
      <c r="C115" s="44" t="s">
        <v>323</v>
      </c>
      <c r="D115" s="6"/>
      <c r="E115" s="7"/>
      <c r="F115" s="8">
        <f>SUBTOTAL(9,F102:F114)</f>
        <v>516023020</v>
      </c>
      <c r="G115" s="9"/>
      <c r="H115" s="7"/>
      <c r="I115" s="8">
        <f>SUBTOTAL(9,I102:I114)</f>
        <v>1727541664</v>
      </c>
    </row>
    <row r="116" spans="1:9" outlineLevel="2" x14ac:dyDescent="0.3">
      <c r="A116" s="3">
        <v>54</v>
      </c>
      <c r="B116" s="4" t="s">
        <v>77</v>
      </c>
      <c r="C116" s="5" t="s">
        <v>78</v>
      </c>
      <c r="D116" s="6">
        <v>41334</v>
      </c>
      <c r="E116" s="7">
        <v>3525</v>
      </c>
      <c r="F116" s="8">
        <v>27202226</v>
      </c>
      <c r="G116" s="9">
        <v>41438</v>
      </c>
      <c r="H116" s="7">
        <v>3525</v>
      </c>
      <c r="I116" s="8">
        <v>65187603</v>
      </c>
    </row>
    <row r="117" spans="1:9" ht="31.2" outlineLevel="1" x14ac:dyDescent="0.3">
      <c r="A117" s="3"/>
      <c r="B117" s="4"/>
      <c r="C117" s="44" t="s">
        <v>324</v>
      </c>
      <c r="D117" s="6"/>
      <c r="E117" s="7"/>
      <c r="F117" s="8">
        <f>SUBTOTAL(9,F116:F116)</f>
        <v>27202226</v>
      </c>
      <c r="G117" s="9"/>
      <c r="H117" s="7"/>
      <c r="I117" s="8">
        <f>SUBTOTAL(9,I116:I116)</f>
        <v>65187603</v>
      </c>
    </row>
    <row r="118" spans="1:9" outlineLevel="2" x14ac:dyDescent="0.3">
      <c r="A118" s="3">
        <v>29</v>
      </c>
      <c r="B118" s="4" t="s">
        <v>49</v>
      </c>
      <c r="C118" s="5" t="s">
        <v>50</v>
      </c>
      <c r="D118" s="6">
        <v>41502</v>
      </c>
      <c r="E118" s="7">
        <v>2933</v>
      </c>
      <c r="F118" s="8">
        <v>24637312</v>
      </c>
      <c r="G118" s="9">
        <v>41683</v>
      </c>
      <c r="H118" s="7">
        <v>3330</v>
      </c>
      <c r="I118" s="8">
        <v>116632095</v>
      </c>
    </row>
    <row r="119" spans="1:9" outlineLevel="2" x14ac:dyDescent="0.3">
      <c r="A119" s="3">
        <v>61</v>
      </c>
      <c r="B119" s="4" t="s">
        <v>86</v>
      </c>
      <c r="C119" s="5" t="s">
        <v>50</v>
      </c>
      <c r="D119" s="6">
        <v>41320</v>
      </c>
      <c r="E119" s="7">
        <v>3288</v>
      </c>
      <c r="F119" s="8">
        <v>15891055</v>
      </c>
      <c r="G119" s="9">
        <v>41480</v>
      </c>
      <c r="H119" s="7">
        <v>3353</v>
      </c>
      <c r="I119" s="8">
        <v>57012977</v>
      </c>
    </row>
    <row r="120" spans="1:9" outlineLevel="2" x14ac:dyDescent="0.3">
      <c r="A120" s="3">
        <v>79</v>
      </c>
      <c r="B120" s="4" t="s">
        <v>106</v>
      </c>
      <c r="C120" s="5" t="s">
        <v>50</v>
      </c>
      <c r="D120" s="6">
        <v>41635</v>
      </c>
      <c r="E120" s="7">
        <v>5</v>
      </c>
      <c r="F120" s="8">
        <v>179302</v>
      </c>
      <c r="G120" s="9">
        <v>41767</v>
      </c>
      <c r="H120" s="7">
        <v>2411</v>
      </c>
      <c r="I120" s="8">
        <v>37738810</v>
      </c>
    </row>
    <row r="121" spans="1:9" outlineLevel="2" x14ac:dyDescent="0.3">
      <c r="A121" s="3">
        <v>80</v>
      </c>
      <c r="B121" s="4" t="s">
        <v>107</v>
      </c>
      <c r="C121" s="5" t="s">
        <v>50</v>
      </c>
      <c r="D121" s="6">
        <v>41600</v>
      </c>
      <c r="E121" s="7">
        <v>4</v>
      </c>
      <c r="F121" s="8">
        <v>128435</v>
      </c>
      <c r="G121" s="9">
        <v>41781</v>
      </c>
      <c r="H121" s="7">
        <v>1225</v>
      </c>
      <c r="I121" s="8">
        <v>37709979</v>
      </c>
    </row>
    <row r="122" spans="1:9" outlineLevel="1" x14ac:dyDescent="0.3">
      <c r="A122" s="3"/>
      <c r="B122" s="4"/>
      <c r="C122" s="44" t="s">
        <v>325</v>
      </c>
      <c r="D122" s="6"/>
      <c r="E122" s="7"/>
      <c r="F122" s="8">
        <f>SUBTOTAL(9,F118:F121)</f>
        <v>40836104</v>
      </c>
      <c r="G122" s="9"/>
      <c r="H122" s="7"/>
      <c r="I122" s="8">
        <f>SUBTOTAL(9,I118:I121)</f>
        <v>249093861</v>
      </c>
    </row>
    <row r="123" spans="1:9" x14ac:dyDescent="0.3">
      <c r="A123" s="3"/>
      <c r="B123" s="4"/>
      <c r="C123" s="44" t="s">
        <v>326</v>
      </c>
      <c r="D123" s="6"/>
      <c r="E123" s="7"/>
      <c r="F123" s="8">
        <f>SUBTOTAL(9,F3:F121)</f>
        <v>2931922859</v>
      </c>
      <c r="G123" s="9"/>
      <c r="H123" s="7"/>
      <c r="I123" s="8">
        <f>SUBTOTAL(9,I3:I121)</f>
        <v>10059687522</v>
      </c>
    </row>
  </sheetData>
  <autoFilter ref="A2:I2">
    <sortState ref="A3:I102">
      <sortCondition ref="C2"/>
    </sortState>
  </autoFilter>
  <mergeCells count="1">
    <mergeCell ref="A1:I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3"/>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5.19921875" bestFit="1" customWidth="1"/>
    <col min="10" max="10" width="13.3984375" customWidth="1"/>
    <col min="12" max="12" width="11.8984375" bestFit="1" customWidth="1"/>
    <col min="13" max="13" width="9.8984375" customWidth="1"/>
  </cols>
  <sheetData>
    <row r="1" spans="1:14" x14ac:dyDescent="0.3">
      <c r="A1" s="62" t="s">
        <v>3</v>
      </c>
      <c r="B1" s="63"/>
      <c r="C1" s="63"/>
      <c r="D1" s="63"/>
      <c r="E1" s="63"/>
      <c r="F1" s="63"/>
      <c r="G1" s="63"/>
      <c r="H1" s="63"/>
      <c r="I1" s="64"/>
      <c r="K1" s="10" t="s">
        <v>142</v>
      </c>
    </row>
    <row r="2" spans="1:14" ht="31.2" x14ac:dyDescent="0.3">
      <c r="A2" s="1" t="s">
        <v>4</v>
      </c>
      <c r="B2" s="1" t="s">
        <v>5</v>
      </c>
      <c r="C2" s="1" t="s">
        <v>6</v>
      </c>
      <c r="D2" s="1" t="s">
        <v>7</v>
      </c>
      <c r="E2" s="2" t="s">
        <v>8</v>
      </c>
      <c r="F2" s="2" t="s">
        <v>9</v>
      </c>
      <c r="G2" s="1" t="s">
        <v>10</v>
      </c>
      <c r="H2" s="2" t="s">
        <v>11</v>
      </c>
      <c r="I2" s="2" t="s">
        <v>12</v>
      </c>
      <c r="K2" s="11">
        <v>1</v>
      </c>
      <c r="L2" s="12" t="s">
        <v>331</v>
      </c>
    </row>
    <row r="3" spans="1:14" x14ac:dyDescent="0.3">
      <c r="A3" s="3">
        <v>1</v>
      </c>
      <c r="B3" s="4" t="s">
        <v>13</v>
      </c>
      <c r="C3" s="5" t="s">
        <v>14</v>
      </c>
      <c r="D3" s="6">
        <v>41600</v>
      </c>
      <c r="E3" s="7">
        <v>4163</v>
      </c>
      <c r="F3" s="8">
        <v>158074286</v>
      </c>
      <c r="G3" s="9">
        <v>41732</v>
      </c>
      <c r="H3" s="7">
        <v>4163</v>
      </c>
      <c r="I3" s="8">
        <v>424668047</v>
      </c>
      <c r="K3" s="11">
        <v>2</v>
      </c>
      <c r="L3" s="12" t="s">
        <v>330</v>
      </c>
    </row>
    <row r="4" spans="1:14" x14ac:dyDescent="0.3">
      <c r="A4" s="3">
        <v>2</v>
      </c>
      <c r="B4" s="4" t="s">
        <v>15</v>
      </c>
      <c r="C4" s="5" t="s">
        <v>16</v>
      </c>
      <c r="D4" s="6">
        <v>41397</v>
      </c>
      <c r="E4" s="7">
        <v>4253</v>
      </c>
      <c r="F4" s="8">
        <v>174144585</v>
      </c>
      <c r="G4" s="9">
        <v>41529</v>
      </c>
      <c r="H4" s="7">
        <v>4253</v>
      </c>
      <c r="I4" s="8">
        <v>409013994</v>
      </c>
      <c r="K4" s="11">
        <v>3</v>
      </c>
      <c r="L4" t="s">
        <v>334</v>
      </c>
    </row>
    <row r="5" spans="1:14" x14ac:dyDescent="0.3">
      <c r="A5" s="3">
        <v>3</v>
      </c>
      <c r="B5" s="4" t="s">
        <v>17</v>
      </c>
      <c r="C5" s="5" t="s">
        <v>16</v>
      </c>
      <c r="D5" s="6">
        <v>41600</v>
      </c>
      <c r="E5" s="7">
        <v>1</v>
      </c>
      <c r="F5" s="8">
        <v>243390</v>
      </c>
      <c r="G5" s="9">
        <v>41837</v>
      </c>
      <c r="H5" s="7">
        <v>3742</v>
      </c>
      <c r="I5" s="8">
        <v>400738009</v>
      </c>
      <c r="K5" s="11">
        <v>4</v>
      </c>
      <c r="L5" t="s">
        <v>333</v>
      </c>
    </row>
    <row r="6" spans="1:14" x14ac:dyDescent="0.3">
      <c r="A6" s="3">
        <v>4</v>
      </c>
      <c r="B6" s="4" t="s">
        <v>18</v>
      </c>
      <c r="C6" s="5" t="s">
        <v>19</v>
      </c>
      <c r="D6" s="6">
        <v>41458</v>
      </c>
      <c r="E6" s="7">
        <v>3997</v>
      </c>
      <c r="F6" s="8">
        <v>83517315</v>
      </c>
      <c r="G6" s="9">
        <v>41655</v>
      </c>
      <c r="H6" s="7">
        <v>4003</v>
      </c>
      <c r="I6" s="8">
        <v>368061265</v>
      </c>
      <c r="K6" s="11">
        <v>5</v>
      </c>
      <c r="L6" t="s">
        <v>335</v>
      </c>
    </row>
    <row r="7" spans="1:14" x14ac:dyDescent="0.3">
      <c r="A7" s="3">
        <v>5</v>
      </c>
      <c r="B7" s="4" t="s">
        <v>20</v>
      </c>
      <c r="C7" s="5" t="s">
        <v>21</v>
      </c>
      <c r="D7" s="6">
        <v>41439</v>
      </c>
      <c r="E7" s="7">
        <v>4207</v>
      </c>
      <c r="F7" s="8">
        <v>116619362</v>
      </c>
      <c r="G7" s="9">
        <v>41536</v>
      </c>
      <c r="H7" s="7">
        <v>4207</v>
      </c>
      <c r="I7" s="8">
        <v>291045518</v>
      </c>
      <c r="K7" s="11"/>
    </row>
    <row r="8" spans="1:14" x14ac:dyDescent="0.3">
      <c r="A8" s="3">
        <v>6</v>
      </c>
      <c r="B8" s="4" t="s">
        <v>22</v>
      </c>
      <c r="C8" s="5" t="s">
        <v>21</v>
      </c>
      <c r="D8" s="6">
        <v>41551</v>
      </c>
      <c r="E8" s="7">
        <v>3575</v>
      </c>
      <c r="F8" s="8">
        <v>55785112</v>
      </c>
      <c r="G8" s="9">
        <v>41767</v>
      </c>
      <c r="H8" s="7">
        <v>3820</v>
      </c>
      <c r="I8" s="8">
        <v>274092705</v>
      </c>
      <c r="L8" s="45">
        <f>COUNT(A:A)</f>
        <v>100</v>
      </c>
      <c r="M8" s="46" t="s">
        <v>336</v>
      </c>
    </row>
    <row r="9" spans="1:14" x14ac:dyDescent="0.3">
      <c r="A9" s="3">
        <v>7</v>
      </c>
      <c r="B9" s="4" t="s">
        <v>23</v>
      </c>
      <c r="C9" s="5" t="s">
        <v>16</v>
      </c>
      <c r="D9" s="6">
        <v>41446</v>
      </c>
      <c r="E9" s="7">
        <v>4004</v>
      </c>
      <c r="F9" s="8">
        <v>82429469</v>
      </c>
      <c r="G9" s="9">
        <v>41627</v>
      </c>
      <c r="H9" s="7">
        <v>4004</v>
      </c>
      <c r="I9" s="8">
        <v>268492764</v>
      </c>
      <c r="K9" s="11"/>
      <c r="L9" s="45">
        <f ca="1">OFFSET(A3,,,L8,1)</f>
        <v>7</v>
      </c>
      <c r="M9" s="46" t="s">
        <v>337</v>
      </c>
      <c r="N9" t="s">
        <v>338</v>
      </c>
    </row>
    <row r="10" spans="1:14" x14ac:dyDescent="0.3">
      <c r="A10" s="3">
        <v>8</v>
      </c>
      <c r="B10" s="4" t="s">
        <v>24</v>
      </c>
      <c r="C10" s="5" t="s">
        <v>21</v>
      </c>
      <c r="D10" s="6">
        <v>41621</v>
      </c>
      <c r="E10" s="7">
        <v>3903</v>
      </c>
      <c r="F10" s="8">
        <v>73645197</v>
      </c>
      <c r="G10" s="9">
        <v>41746</v>
      </c>
      <c r="H10" s="7">
        <v>3928</v>
      </c>
      <c r="I10" s="8">
        <v>258366855</v>
      </c>
      <c r="K10" s="11"/>
      <c r="L10" s="45">
        <f ca="1">OFFSET(A3,,,COUNT(A:A),1)</f>
        <v>8</v>
      </c>
      <c r="M10" s="11" t="s">
        <v>339</v>
      </c>
    </row>
    <row r="11" spans="1:14" x14ac:dyDescent="0.3">
      <c r="A11" s="3">
        <v>9</v>
      </c>
      <c r="B11" s="4" t="s">
        <v>25</v>
      </c>
      <c r="C11" s="5" t="s">
        <v>19</v>
      </c>
      <c r="D11" s="6">
        <v>41418</v>
      </c>
      <c r="E11" s="7">
        <v>3658</v>
      </c>
      <c r="F11" s="8">
        <v>97375245</v>
      </c>
      <c r="G11" s="9">
        <v>41522</v>
      </c>
      <c r="H11" s="7">
        <v>3771</v>
      </c>
      <c r="I11" s="8">
        <v>238679850</v>
      </c>
      <c r="K11" s="11"/>
    </row>
    <row r="12" spans="1:14" x14ac:dyDescent="0.3">
      <c r="A12" s="3">
        <v>10</v>
      </c>
      <c r="B12" s="4" t="s">
        <v>26</v>
      </c>
      <c r="C12" s="5" t="s">
        <v>16</v>
      </c>
      <c r="D12" s="6">
        <v>41341</v>
      </c>
      <c r="E12" s="7">
        <v>3912</v>
      </c>
      <c r="F12" s="8">
        <v>79110453</v>
      </c>
      <c r="G12" s="9">
        <v>41473</v>
      </c>
      <c r="H12" s="7">
        <v>3912</v>
      </c>
      <c r="I12" s="8">
        <v>234911825</v>
      </c>
    </row>
    <row r="13" spans="1:14" x14ac:dyDescent="0.3">
      <c r="A13" s="3">
        <v>11</v>
      </c>
      <c r="B13" s="4" t="s">
        <v>27</v>
      </c>
      <c r="C13" s="5" t="s">
        <v>28</v>
      </c>
      <c r="D13" s="6">
        <v>41410</v>
      </c>
      <c r="E13" s="7">
        <v>3868</v>
      </c>
      <c r="F13" s="8">
        <v>70165559</v>
      </c>
      <c r="G13" s="9">
        <v>41529</v>
      </c>
      <c r="H13" s="7">
        <v>3907</v>
      </c>
      <c r="I13" s="8">
        <v>228778661</v>
      </c>
    </row>
    <row r="14" spans="1:14" x14ac:dyDescent="0.3">
      <c r="A14" s="3">
        <v>12</v>
      </c>
      <c r="B14" s="4" t="s">
        <v>29</v>
      </c>
      <c r="C14" s="5" t="s">
        <v>16</v>
      </c>
      <c r="D14" s="6">
        <v>41586</v>
      </c>
      <c r="E14" s="7">
        <v>3841</v>
      </c>
      <c r="F14" s="8">
        <v>85737841</v>
      </c>
      <c r="G14" s="9">
        <v>41746</v>
      </c>
      <c r="H14" s="7">
        <v>3841</v>
      </c>
      <c r="I14" s="8">
        <v>206362140</v>
      </c>
    </row>
    <row r="15" spans="1:14" x14ac:dyDescent="0.3">
      <c r="A15" s="3">
        <v>13</v>
      </c>
      <c r="B15" s="4" t="s">
        <v>30</v>
      </c>
      <c r="C15" s="5" t="s">
        <v>28</v>
      </c>
      <c r="D15" s="6">
        <v>41446</v>
      </c>
      <c r="E15" s="7">
        <v>3607</v>
      </c>
      <c r="F15" s="8">
        <v>66411834</v>
      </c>
      <c r="G15" s="9">
        <v>41557</v>
      </c>
      <c r="H15" s="7">
        <v>3607</v>
      </c>
      <c r="I15" s="8">
        <v>202359711</v>
      </c>
    </row>
    <row r="16" spans="1:14"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row r="103" spans="1:9" x14ac:dyDescent="0.3">
      <c r="I103" s="16"/>
    </row>
  </sheetData>
  <mergeCells count="1">
    <mergeCell ref="A1:I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02"/>
  <sheetViews>
    <sheetView workbookViewId="0">
      <selection sqref="A1:H1"/>
    </sheetView>
  </sheetViews>
  <sheetFormatPr defaultRowHeight="15.6" x14ac:dyDescent="0.3"/>
  <cols>
    <col min="1" max="1" width="4.8984375" bestFit="1" customWidth="1"/>
    <col min="2" max="2" width="52.19921875" bestFit="1" customWidth="1"/>
    <col min="3" max="3" width="8.3984375" bestFit="1" customWidth="1"/>
    <col min="4" max="4" width="12.3984375" bestFit="1" customWidth="1"/>
    <col min="5" max="7" width="12.3984375" customWidth="1"/>
    <col min="8" max="8" width="12.3984375" bestFit="1" customWidth="1"/>
    <col min="9" max="9" width="14.59765625" customWidth="1"/>
    <col min="10" max="10" width="4.8984375" customWidth="1"/>
  </cols>
  <sheetData>
    <row r="1" spans="1:12" ht="15.6" customHeight="1" x14ac:dyDescent="0.3">
      <c r="A1" s="65" t="s">
        <v>3</v>
      </c>
      <c r="B1" s="65"/>
      <c r="C1" s="65"/>
      <c r="D1" s="65"/>
      <c r="E1" s="65"/>
      <c r="F1" s="65"/>
      <c r="G1" s="65"/>
      <c r="H1" s="65"/>
      <c r="K1" s="10" t="s">
        <v>140</v>
      </c>
    </row>
    <row r="2" spans="1:12" ht="31.2" x14ac:dyDescent="0.3">
      <c r="A2" s="1" t="s">
        <v>4</v>
      </c>
      <c r="B2" s="1" t="s">
        <v>5</v>
      </c>
      <c r="C2" s="1" t="s">
        <v>6</v>
      </c>
      <c r="D2" s="2" t="s">
        <v>9</v>
      </c>
      <c r="E2" s="2" t="s">
        <v>345</v>
      </c>
      <c r="F2" s="2" t="s">
        <v>346</v>
      </c>
      <c r="G2" s="2" t="s">
        <v>347</v>
      </c>
      <c r="H2" s="2" t="s">
        <v>12</v>
      </c>
      <c r="K2" s="11">
        <v>1</v>
      </c>
      <c r="L2" t="s">
        <v>340</v>
      </c>
    </row>
    <row r="3" spans="1:12" x14ac:dyDescent="0.3">
      <c r="A3" s="3">
        <v>1</v>
      </c>
      <c r="B3" s="4" t="s">
        <v>13</v>
      </c>
      <c r="C3" s="5" t="s">
        <v>14</v>
      </c>
      <c r="D3" s="8">
        <v>158074286</v>
      </c>
      <c r="E3" s="8">
        <v>167597355</v>
      </c>
      <c r="F3" s="8">
        <v>260320861</v>
      </c>
      <c r="G3" s="8">
        <v>403435476</v>
      </c>
      <c r="H3" s="8">
        <v>424668047</v>
      </c>
      <c r="K3" s="11">
        <v>2</v>
      </c>
      <c r="L3" s="12" t="s">
        <v>341</v>
      </c>
    </row>
    <row r="4" spans="1:12" x14ac:dyDescent="0.3">
      <c r="A4" s="3">
        <v>2</v>
      </c>
      <c r="B4" s="4" t="s">
        <v>15</v>
      </c>
      <c r="C4" s="5" t="s">
        <v>16</v>
      </c>
      <c r="D4" s="8">
        <v>174144585</v>
      </c>
      <c r="E4" s="8">
        <v>324414976</v>
      </c>
      <c r="F4" s="8">
        <v>389308263</v>
      </c>
      <c r="G4" s="8">
        <v>393645727</v>
      </c>
      <c r="H4" s="8">
        <v>409013994</v>
      </c>
      <c r="K4" s="11">
        <v>3</v>
      </c>
      <c r="L4" t="s">
        <v>342</v>
      </c>
    </row>
    <row r="5" spans="1:12" x14ac:dyDescent="0.3">
      <c r="A5" s="3">
        <v>3</v>
      </c>
      <c r="B5" s="4" t="s">
        <v>17</v>
      </c>
      <c r="C5" s="5" t="s">
        <v>16</v>
      </c>
      <c r="D5" s="8">
        <v>243390</v>
      </c>
      <c r="E5" s="8">
        <v>64914552</v>
      </c>
      <c r="F5" s="8">
        <v>200276526</v>
      </c>
      <c r="G5" s="8">
        <v>299376705</v>
      </c>
      <c r="H5" s="8">
        <v>400738009</v>
      </c>
      <c r="K5" s="11">
        <v>4</v>
      </c>
      <c r="L5" t="s">
        <v>343</v>
      </c>
    </row>
    <row r="6" spans="1:12" x14ac:dyDescent="0.3">
      <c r="A6" s="3">
        <v>4</v>
      </c>
      <c r="B6" s="4" t="s">
        <v>18</v>
      </c>
      <c r="C6" s="5" t="s">
        <v>19</v>
      </c>
      <c r="D6" s="8">
        <v>83517315</v>
      </c>
      <c r="E6" s="8">
        <v>110078184</v>
      </c>
      <c r="F6" s="8">
        <v>136913320</v>
      </c>
      <c r="G6" s="8">
        <v>248641565</v>
      </c>
      <c r="H6" s="8">
        <v>368061265</v>
      </c>
      <c r="K6" s="11">
        <v>5</v>
      </c>
      <c r="L6" t="s">
        <v>344</v>
      </c>
    </row>
    <row r="7" spans="1:12" x14ac:dyDescent="0.3">
      <c r="A7" s="3">
        <v>5</v>
      </c>
      <c r="B7" s="4" t="s">
        <v>20</v>
      </c>
      <c r="C7" s="5" t="s">
        <v>21</v>
      </c>
      <c r="D7" s="8">
        <v>116619362</v>
      </c>
      <c r="E7" s="8">
        <v>128533901</v>
      </c>
      <c r="F7" s="8">
        <v>176543482</v>
      </c>
      <c r="G7" s="8">
        <v>226094577</v>
      </c>
      <c r="H7" s="8">
        <v>291045518</v>
      </c>
      <c r="K7" s="11">
        <v>6</v>
      </c>
      <c r="L7" t="s">
        <v>348</v>
      </c>
    </row>
    <row r="8" spans="1:12" x14ac:dyDescent="0.3">
      <c r="A8" s="3">
        <v>6</v>
      </c>
      <c r="B8" s="4" t="s">
        <v>22</v>
      </c>
      <c r="C8" s="5" t="s">
        <v>21</v>
      </c>
      <c r="D8" s="8">
        <v>55785112</v>
      </c>
      <c r="E8" s="8">
        <v>118518498</v>
      </c>
      <c r="F8" s="8">
        <v>178567682</v>
      </c>
      <c r="G8" s="8">
        <v>230090896</v>
      </c>
      <c r="H8" s="8">
        <v>274092705</v>
      </c>
    </row>
    <row r="9" spans="1:12" x14ac:dyDescent="0.3">
      <c r="A9" s="3">
        <v>7</v>
      </c>
      <c r="B9" s="4" t="s">
        <v>23</v>
      </c>
      <c r="C9" s="5" t="s">
        <v>16</v>
      </c>
      <c r="D9" s="8">
        <v>82429469</v>
      </c>
      <c r="E9" s="8">
        <v>203467553</v>
      </c>
      <c r="F9" s="8">
        <v>214370366</v>
      </c>
      <c r="G9" s="8">
        <v>247822920</v>
      </c>
      <c r="H9" s="8">
        <v>268492764</v>
      </c>
    </row>
    <row r="10" spans="1:12" x14ac:dyDescent="0.3">
      <c r="A10" s="3">
        <v>8</v>
      </c>
      <c r="B10" s="4" t="s">
        <v>24</v>
      </c>
      <c r="C10" s="5" t="s">
        <v>21</v>
      </c>
      <c r="D10" s="8">
        <v>73645197</v>
      </c>
      <c r="E10" s="8">
        <v>174681039</v>
      </c>
      <c r="F10" s="8">
        <v>244445205</v>
      </c>
      <c r="G10" s="8">
        <v>254999277</v>
      </c>
      <c r="H10" s="8">
        <v>258366855</v>
      </c>
    </row>
    <row r="11" spans="1:12" x14ac:dyDescent="0.3">
      <c r="A11" s="3">
        <v>9</v>
      </c>
      <c r="B11" s="4" t="s">
        <v>25</v>
      </c>
      <c r="C11" s="5" t="s">
        <v>19</v>
      </c>
      <c r="D11" s="8">
        <v>97375245</v>
      </c>
      <c r="E11" s="8">
        <v>136080590</v>
      </c>
      <c r="F11" s="8">
        <v>196310705</v>
      </c>
      <c r="G11" s="8">
        <v>211993020</v>
      </c>
      <c r="H11" s="8">
        <v>238679850</v>
      </c>
    </row>
    <row r="12" spans="1:12" x14ac:dyDescent="0.3">
      <c r="A12" s="3">
        <v>10</v>
      </c>
      <c r="B12" s="4" t="s">
        <v>26</v>
      </c>
      <c r="C12" s="5" t="s">
        <v>16</v>
      </c>
      <c r="D12" s="8">
        <v>79110453</v>
      </c>
      <c r="E12" s="8">
        <v>111284385</v>
      </c>
      <c r="F12" s="8">
        <v>147316362</v>
      </c>
      <c r="G12" s="8">
        <v>216834475</v>
      </c>
      <c r="H12" s="8">
        <v>234911825</v>
      </c>
    </row>
    <row r="13" spans="1:12" x14ac:dyDescent="0.3">
      <c r="A13" s="3">
        <v>11</v>
      </c>
      <c r="B13" s="4" t="s">
        <v>27</v>
      </c>
      <c r="C13" s="5" t="s">
        <v>28</v>
      </c>
      <c r="D13" s="8">
        <v>70165559</v>
      </c>
      <c r="E13" s="8">
        <v>172447743</v>
      </c>
      <c r="F13" s="8">
        <v>192273862</v>
      </c>
      <c r="G13" s="8">
        <v>210592900</v>
      </c>
      <c r="H13" s="8">
        <v>228778661</v>
      </c>
    </row>
    <row r="14" spans="1:12" x14ac:dyDescent="0.3">
      <c r="A14" s="3">
        <v>12</v>
      </c>
      <c r="B14" s="4" t="s">
        <v>29</v>
      </c>
      <c r="C14" s="5" t="s">
        <v>16</v>
      </c>
      <c r="D14" s="8">
        <v>85737841</v>
      </c>
      <c r="E14" s="8">
        <v>143417300</v>
      </c>
      <c r="F14" s="8">
        <v>149630567</v>
      </c>
      <c r="G14" s="8">
        <v>150816907</v>
      </c>
      <c r="H14" s="8">
        <v>206362140</v>
      </c>
    </row>
    <row r="15" spans="1:12" x14ac:dyDescent="0.3">
      <c r="A15" s="3">
        <v>13</v>
      </c>
      <c r="B15" s="4" t="s">
        <v>30</v>
      </c>
      <c r="C15" s="5" t="s">
        <v>28</v>
      </c>
      <c r="D15" s="8">
        <v>66411834</v>
      </c>
      <c r="E15" s="8">
        <v>171600156</v>
      </c>
      <c r="F15" s="8">
        <v>176969863</v>
      </c>
      <c r="G15" s="8">
        <v>182408794</v>
      </c>
      <c r="H15" s="8">
        <v>202359711</v>
      </c>
    </row>
    <row r="16" spans="1:12" x14ac:dyDescent="0.3">
      <c r="A16" s="3">
        <v>14</v>
      </c>
      <c r="B16" s="4" t="s">
        <v>31</v>
      </c>
      <c r="C16" s="5" t="s">
        <v>32</v>
      </c>
      <c r="D16" s="8">
        <v>43639736</v>
      </c>
      <c r="E16" s="8">
        <v>45799933</v>
      </c>
      <c r="F16" s="8">
        <v>176448148</v>
      </c>
      <c r="G16" s="8">
        <v>186654735</v>
      </c>
      <c r="H16" s="8">
        <v>187168425</v>
      </c>
    </row>
    <row r="17" spans="1:8" x14ac:dyDescent="0.3">
      <c r="A17" s="3">
        <v>15</v>
      </c>
      <c r="B17" s="4" t="s">
        <v>33</v>
      </c>
      <c r="C17" s="5" t="s">
        <v>32</v>
      </c>
      <c r="D17" s="8">
        <v>39115043</v>
      </c>
      <c r="E17" s="8">
        <v>112332427</v>
      </c>
      <c r="F17" s="8">
        <v>126059160</v>
      </c>
      <c r="G17" s="8">
        <v>152465172</v>
      </c>
      <c r="H17" s="8">
        <v>159582188</v>
      </c>
    </row>
    <row r="18" spans="1:8" x14ac:dyDescent="0.3">
      <c r="A18" s="3">
        <v>16</v>
      </c>
      <c r="B18" s="4" t="s">
        <v>34</v>
      </c>
      <c r="C18" s="5" t="s">
        <v>21</v>
      </c>
      <c r="D18" s="8">
        <v>26419396</v>
      </c>
      <c r="E18" s="8">
        <v>77235641</v>
      </c>
      <c r="F18" s="8">
        <v>115180428</v>
      </c>
      <c r="G18" s="8">
        <v>146360899</v>
      </c>
      <c r="H18" s="8">
        <v>150394119</v>
      </c>
    </row>
    <row r="19" spans="1:8" x14ac:dyDescent="0.3">
      <c r="A19" s="3">
        <v>17</v>
      </c>
      <c r="B19" s="4" t="s">
        <v>35</v>
      </c>
      <c r="C19" s="5" t="s">
        <v>36</v>
      </c>
      <c r="D19" s="8">
        <v>740455</v>
      </c>
      <c r="E19" s="8">
        <v>39670143</v>
      </c>
      <c r="F19" s="8">
        <v>55678351</v>
      </c>
      <c r="G19" s="8">
        <v>128973184</v>
      </c>
      <c r="H19" s="8">
        <v>150117807</v>
      </c>
    </row>
    <row r="20" spans="1:8" x14ac:dyDescent="0.3">
      <c r="A20" s="3">
        <v>18</v>
      </c>
      <c r="B20" s="4" t="s">
        <v>37</v>
      </c>
      <c r="C20" s="5" t="s">
        <v>21</v>
      </c>
      <c r="D20" s="8">
        <v>50085185</v>
      </c>
      <c r="E20" s="8">
        <v>138347458</v>
      </c>
      <c r="F20" s="8">
        <v>138815012</v>
      </c>
      <c r="G20" s="8">
        <v>141760610</v>
      </c>
      <c r="H20" s="8">
        <v>144840419</v>
      </c>
    </row>
    <row r="21" spans="1:8" x14ac:dyDescent="0.3">
      <c r="A21" s="3">
        <v>19</v>
      </c>
      <c r="B21" s="4" t="s">
        <v>38</v>
      </c>
      <c r="C21" s="5" t="s">
        <v>21</v>
      </c>
      <c r="D21" s="8">
        <v>41855326</v>
      </c>
      <c r="E21" s="8">
        <v>121251063</v>
      </c>
      <c r="F21" s="8">
        <v>132280407</v>
      </c>
      <c r="G21" s="8">
        <v>133277574</v>
      </c>
      <c r="H21" s="8">
        <v>137400141</v>
      </c>
    </row>
    <row r="22" spans="1:8" x14ac:dyDescent="0.3">
      <c r="A22" s="3">
        <v>20</v>
      </c>
      <c r="B22" s="4" t="s">
        <v>39</v>
      </c>
      <c r="C22" s="5" t="s">
        <v>19</v>
      </c>
      <c r="D22" s="8">
        <v>34551025</v>
      </c>
      <c r="E22" s="8">
        <v>107724851</v>
      </c>
      <c r="F22" s="8">
        <v>117194198</v>
      </c>
      <c r="G22" s="8">
        <v>130368810</v>
      </c>
      <c r="H22" s="8">
        <v>134506920</v>
      </c>
    </row>
    <row r="23" spans="1:8" x14ac:dyDescent="0.3">
      <c r="A23" s="3">
        <v>21</v>
      </c>
      <c r="B23" s="4" t="s">
        <v>40</v>
      </c>
      <c r="C23" s="5" t="s">
        <v>36</v>
      </c>
      <c r="D23" s="8">
        <v>41508572</v>
      </c>
      <c r="E23" s="8">
        <v>44497470</v>
      </c>
      <c r="F23" s="8">
        <v>132830670</v>
      </c>
      <c r="G23" s="8">
        <v>132863128</v>
      </c>
      <c r="H23" s="8">
        <v>133668525</v>
      </c>
    </row>
    <row r="24" spans="1:8" x14ac:dyDescent="0.3">
      <c r="A24" s="3">
        <v>22</v>
      </c>
      <c r="B24" s="4" t="s">
        <v>41</v>
      </c>
      <c r="C24" s="5" t="s">
        <v>32</v>
      </c>
      <c r="D24" s="8">
        <v>53113752</v>
      </c>
      <c r="E24" s="8">
        <v>90900144</v>
      </c>
      <c r="F24" s="8">
        <v>96752149</v>
      </c>
      <c r="G24" s="8">
        <v>129483166</v>
      </c>
      <c r="H24" s="8">
        <v>132556852</v>
      </c>
    </row>
    <row r="25" spans="1:8" x14ac:dyDescent="0.3">
      <c r="A25" s="3">
        <v>23</v>
      </c>
      <c r="B25" s="4" t="s">
        <v>42</v>
      </c>
      <c r="C25" s="5" t="s">
        <v>28</v>
      </c>
      <c r="D25" s="8">
        <v>26232425</v>
      </c>
      <c r="E25" s="8">
        <v>41255913</v>
      </c>
      <c r="F25" s="8">
        <v>71602027</v>
      </c>
      <c r="G25" s="8">
        <v>99145292</v>
      </c>
      <c r="H25" s="8">
        <v>125168368</v>
      </c>
    </row>
    <row r="26" spans="1:8" x14ac:dyDescent="0.3">
      <c r="A26" s="3">
        <v>24</v>
      </c>
      <c r="B26" s="4" t="s">
        <v>43</v>
      </c>
      <c r="C26" s="5" t="s">
        <v>19</v>
      </c>
      <c r="D26" s="8">
        <v>90872</v>
      </c>
      <c r="E26" s="8">
        <v>15203671</v>
      </c>
      <c r="F26" s="8">
        <v>55355573</v>
      </c>
      <c r="G26" s="8">
        <v>81190790</v>
      </c>
      <c r="H26" s="8">
        <v>125095601</v>
      </c>
    </row>
    <row r="27" spans="1:8" x14ac:dyDescent="0.3">
      <c r="A27" s="3">
        <v>25</v>
      </c>
      <c r="B27" s="4" t="s">
        <v>44</v>
      </c>
      <c r="C27" s="5" t="s">
        <v>28</v>
      </c>
      <c r="D27" s="8">
        <v>40501814</v>
      </c>
      <c r="E27" s="8">
        <v>60997095</v>
      </c>
      <c r="F27" s="8">
        <v>118660542</v>
      </c>
      <c r="G27" s="8">
        <v>121308330</v>
      </c>
      <c r="H27" s="8">
        <v>122523060</v>
      </c>
    </row>
    <row r="28" spans="1:8" x14ac:dyDescent="0.3">
      <c r="A28" s="3">
        <v>26</v>
      </c>
      <c r="B28" s="4" t="s">
        <v>45</v>
      </c>
      <c r="C28" s="5" t="s">
        <v>36</v>
      </c>
      <c r="D28" s="8">
        <v>34017930</v>
      </c>
      <c r="E28" s="8">
        <v>65300056</v>
      </c>
      <c r="F28" s="8">
        <v>82437815</v>
      </c>
      <c r="G28" s="8">
        <v>117073375</v>
      </c>
      <c r="H28" s="8">
        <v>119793567</v>
      </c>
    </row>
    <row r="29" spans="1:8" x14ac:dyDescent="0.3">
      <c r="A29" s="3">
        <v>27</v>
      </c>
      <c r="B29" s="4" t="s">
        <v>46</v>
      </c>
      <c r="C29" s="5" t="s">
        <v>47</v>
      </c>
      <c r="D29" s="8">
        <v>29350389</v>
      </c>
      <c r="E29" s="8">
        <v>74192366</v>
      </c>
      <c r="F29" s="8">
        <v>117449192</v>
      </c>
      <c r="G29" s="8">
        <v>117633968</v>
      </c>
      <c r="H29" s="8">
        <v>117723989</v>
      </c>
    </row>
    <row r="30" spans="1:8" x14ac:dyDescent="0.3">
      <c r="A30" s="3">
        <v>28</v>
      </c>
      <c r="B30" s="4" t="s">
        <v>48</v>
      </c>
      <c r="C30" s="5" t="s">
        <v>28</v>
      </c>
      <c r="D30" s="8">
        <v>18361578</v>
      </c>
      <c r="E30" s="8">
        <v>105859086</v>
      </c>
      <c r="F30" s="8">
        <v>114621687</v>
      </c>
      <c r="G30" s="8">
        <v>114672134</v>
      </c>
      <c r="H30" s="8">
        <v>116900694</v>
      </c>
    </row>
    <row r="31" spans="1:8" x14ac:dyDescent="0.3">
      <c r="A31" s="3">
        <v>29</v>
      </c>
      <c r="B31" s="4" t="s">
        <v>49</v>
      </c>
      <c r="C31" s="5" t="s">
        <v>50</v>
      </c>
      <c r="D31" s="8">
        <v>24637312</v>
      </c>
      <c r="E31" s="8">
        <v>39632837</v>
      </c>
      <c r="F31" s="8">
        <v>96799723</v>
      </c>
      <c r="G31" s="8">
        <v>102749019</v>
      </c>
      <c r="H31" s="8">
        <v>116632095</v>
      </c>
    </row>
    <row r="32" spans="1:8" x14ac:dyDescent="0.3">
      <c r="A32" s="3">
        <v>30</v>
      </c>
      <c r="B32" s="4" t="s">
        <v>51</v>
      </c>
      <c r="C32" s="5" t="s">
        <v>21</v>
      </c>
      <c r="D32" s="8">
        <v>41671198</v>
      </c>
      <c r="E32" s="8">
        <v>75493923</v>
      </c>
      <c r="F32" s="8">
        <v>98642059</v>
      </c>
      <c r="G32" s="8">
        <v>106875227</v>
      </c>
      <c r="H32" s="8">
        <v>112200072</v>
      </c>
    </row>
    <row r="33" spans="1:8" x14ac:dyDescent="0.3">
      <c r="A33" s="3">
        <v>31</v>
      </c>
      <c r="B33" s="4" t="s">
        <v>52</v>
      </c>
      <c r="C33" s="5" t="s">
        <v>32</v>
      </c>
      <c r="D33" s="8">
        <v>33531068</v>
      </c>
      <c r="E33" s="8">
        <v>100437743</v>
      </c>
      <c r="F33" s="8">
        <v>105603037</v>
      </c>
      <c r="G33" s="8">
        <v>107389793</v>
      </c>
      <c r="H33" s="8">
        <v>107518682</v>
      </c>
    </row>
    <row r="34" spans="1:8" x14ac:dyDescent="0.3">
      <c r="A34" s="3">
        <v>32</v>
      </c>
      <c r="B34" s="4" t="s">
        <v>53</v>
      </c>
      <c r="C34" s="5" t="s">
        <v>36</v>
      </c>
      <c r="D34" s="8">
        <v>25718314</v>
      </c>
      <c r="E34" s="8">
        <v>49314412</v>
      </c>
      <c r="F34" s="8">
        <v>97691658</v>
      </c>
      <c r="G34" s="8">
        <v>97695711</v>
      </c>
      <c r="H34" s="8">
        <v>107100855</v>
      </c>
    </row>
    <row r="35" spans="1:8" x14ac:dyDescent="0.3">
      <c r="A35" s="3">
        <v>33</v>
      </c>
      <c r="B35" s="4" t="s">
        <v>54</v>
      </c>
      <c r="C35" s="5" t="s">
        <v>28</v>
      </c>
      <c r="D35" s="8">
        <v>32055177</v>
      </c>
      <c r="E35" s="8">
        <v>34586727</v>
      </c>
      <c r="F35" s="8">
        <v>78367088</v>
      </c>
      <c r="G35" s="8">
        <v>80758426</v>
      </c>
      <c r="H35" s="8">
        <v>102003019</v>
      </c>
    </row>
    <row r="36" spans="1:8" x14ac:dyDescent="0.3">
      <c r="A36" s="3">
        <v>34</v>
      </c>
      <c r="B36" s="4" t="s">
        <v>55</v>
      </c>
      <c r="C36" s="5" t="s">
        <v>21</v>
      </c>
      <c r="D36" s="8">
        <v>37285325</v>
      </c>
      <c r="E36" s="8">
        <v>66234713</v>
      </c>
      <c r="F36" s="8">
        <v>97173827</v>
      </c>
      <c r="G36" s="8">
        <v>97688226</v>
      </c>
      <c r="H36" s="8">
        <v>101802906</v>
      </c>
    </row>
    <row r="37" spans="1:8" x14ac:dyDescent="0.3">
      <c r="A37" s="3">
        <v>35</v>
      </c>
      <c r="B37" s="4" t="s">
        <v>56</v>
      </c>
      <c r="C37" s="5" t="s">
        <v>36</v>
      </c>
      <c r="D37" s="8">
        <v>20719162</v>
      </c>
      <c r="E37" s="8">
        <v>71347093</v>
      </c>
      <c r="F37" s="8">
        <v>84355699</v>
      </c>
      <c r="G37" s="8">
        <v>92997107</v>
      </c>
      <c r="H37" s="8">
        <v>101470202</v>
      </c>
    </row>
    <row r="38" spans="1:8" x14ac:dyDescent="0.3">
      <c r="A38" s="3">
        <v>36</v>
      </c>
      <c r="B38" s="4" t="s">
        <v>57</v>
      </c>
      <c r="C38" s="5" t="s">
        <v>58</v>
      </c>
      <c r="D38" s="8">
        <v>30373794</v>
      </c>
      <c r="E38" s="8">
        <v>94636369</v>
      </c>
      <c r="F38" s="8">
        <v>94666211</v>
      </c>
      <c r="G38" s="8">
        <v>96399483</v>
      </c>
      <c r="H38" s="8">
        <v>98925640</v>
      </c>
    </row>
    <row r="39" spans="1:8" x14ac:dyDescent="0.3">
      <c r="A39" s="3">
        <v>37</v>
      </c>
      <c r="B39" s="4">
        <v>42</v>
      </c>
      <c r="C39" s="5" t="s">
        <v>21</v>
      </c>
      <c r="D39" s="8">
        <v>27487144</v>
      </c>
      <c r="E39" s="8">
        <v>90602481</v>
      </c>
      <c r="F39" s="8">
        <v>93855571</v>
      </c>
      <c r="G39" s="8">
        <v>94666164</v>
      </c>
      <c r="H39" s="8">
        <v>95020213</v>
      </c>
    </row>
    <row r="40" spans="1:8" x14ac:dyDescent="0.3">
      <c r="A40" s="3">
        <v>38</v>
      </c>
      <c r="B40" s="4" t="s">
        <v>59</v>
      </c>
      <c r="C40" s="5" t="s">
        <v>60</v>
      </c>
      <c r="D40" s="8">
        <v>29807393</v>
      </c>
      <c r="E40" s="8">
        <v>52301796</v>
      </c>
      <c r="F40" s="8">
        <v>79788967</v>
      </c>
      <c r="G40" s="8">
        <v>82036501</v>
      </c>
      <c r="H40" s="8">
        <v>93050117</v>
      </c>
    </row>
    <row r="41" spans="1:8" x14ac:dyDescent="0.3">
      <c r="A41" s="3">
        <v>39</v>
      </c>
      <c r="B41" s="4" t="s">
        <v>61</v>
      </c>
      <c r="C41" s="5" t="s">
        <v>16</v>
      </c>
      <c r="D41" s="8">
        <v>22232291</v>
      </c>
      <c r="E41" s="8">
        <v>76193755</v>
      </c>
      <c r="F41" s="8">
        <v>83481521</v>
      </c>
      <c r="G41" s="8">
        <v>87886409</v>
      </c>
      <c r="H41" s="8">
        <v>90288712</v>
      </c>
    </row>
    <row r="42" spans="1:8" x14ac:dyDescent="0.3">
      <c r="A42" s="3">
        <v>40</v>
      </c>
      <c r="B42" s="4" t="s">
        <v>62</v>
      </c>
      <c r="C42" s="5" t="s">
        <v>16</v>
      </c>
      <c r="D42" s="8">
        <v>29210849</v>
      </c>
      <c r="E42" s="8">
        <v>82188602</v>
      </c>
      <c r="F42" s="8">
        <v>82502822</v>
      </c>
      <c r="G42" s="8">
        <v>86374284</v>
      </c>
      <c r="H42" s="8">
        <v>89302115</v>
      </c>
    </row>
    <row r="43" spans="1:8" x14ac:dyDescent="0.3">
      <c r="A43" s="3">
        <v>41</v>
      </c>
      <c r="B43" s="4" t="s">
        <v>63</v>
      </c>
      <c r="C43" s="5" t="s">
        <v>19</v>
      </c>
      <c r="D43" s="8">
        <v>37054485</v>
      </c>
      <c r="E43" s="8">
        <v>70824993</v>
      </c>
      <c r="F43" s="8">
        <v>83816732</v>
      </c>
      <c r="G43" s="8">
        <v>87923912</v>
      </c>
      <c r="H43" s="8">
        <v>89107235</v>
      </c>
    </row>
    <row r="44" spans="1:8" x14ac:dyDescent="0.3">
      <c r="A44" s="3">
        <v>42</v>
      </c>
      <c r="B44" s="4" t="s">
        <v>64</v>
      </c>
      <c r="C44" s="5" t="s">
        <v>58</v>
      </c>
      <c r="D44" s="8">
        <v>40272103</v>
      </c>
      <c r="E44" s="8">
        <v>66958867</v>
      </c>
      <c r="F44" s="8">
        <v>67164370</v>
      </c>
      <c r="G44" s="8">
        <v>76379769</v>
      </c>
      <c r="H44" s="8">
        <v>83586447</v>
      </c>
    </row>
    <row r="45" spans="1:8" x14ac:dyDescent="0.3">
      <c r="A45" s="3">
        <v>43</v>
      </c>
      <c r="B45" s="4" t="s">
        <v>65</v>
      </c>
      <c r="C45" s="5" t="s">
        <v>16</v>
      </c>
      <c r="D45" s="8">
        <v>413373</v>
      </c>
      <c r="E45" s="8">
        <v>28128448</v>
      </c>
      <c r="F45" s="8">
        <v>46797566</v>
      </c>
      <c r="G45" s="8">
        <v>59872269</v>
      </c>
      <c r="H45" s="8">
        <v>83301580</v>
      </c>
    </row>
    <row r="46" spans="1:8" x14ac:dyDescent="0.3">
      <c r="A46" s="3">
        <v>44</v>
      </c>
      <c r="B46" s="4" t="s">
        <v>66</v>
      </c>
      <c r="C46" s="5" t="s">
        <v>32</v>
      </c>
      <c r="D46" s="8">
        <v>21312625</v>
      </c>
      <c r="E46" s="8">
        <v>23019788</v>
      </c>
      <c r="F46" s="8">
        <v>57221259</v>
      </c>
      <c r="G46" s="8">
        <v>60397770</v>
      </c>
      <c r="H46" s="8">
        <v>83028128</v>
      </c>
    </row>
    <row r="47" spans="1:8" x14ac:dyDescent="0.3">
      <c r="A47" s="3">
        <v>45</v>
      </c>
      <c r="B47" s="4" t="s">
        <v>67</v>
      </c>
      <c r="C47" s="5" t="s">
        <v>19</v>
      </c>
      <c r="D47" s="8">
        <v>27059130</v>
      </c>
      <c r="E47" s="8">
        <v>56300176</v>
      </c>
      <c r="F47" s="8">
        <v>70475798</v>
      </c>
      <c r="G47" s="8">
        <v>73325479</v>
      </c>
      <c r="H47" s="8">
        <v>75612460</v>
      </c>
    </row>
    <row r="48" spans="1:8" x14ac:dyDescent="0.3">
      <c r="A48" s="3">
        <v>46</v>
      </c>
      <c r="B48" s="4" t="s">
        <v>68</v>
      </c>
      <c r="C48" s="5" t="s">
        <v>36</v>
      </c>
      <c r="D48" s="8">
        <v>24852258</v>
      </c>
      <c r="E48" s="8">
        <v>60763664</v>
      </c>
      <c r="F48" s="8">
        <v>67899790</v>
      </c>
      <c r="G48" s="8">
        <v>71297517</v>
      </c>
      <c r="H48" s="8">
        <v>73103784</v>
      </c>
    </row>
    <row r="49" spans="1:8" x14ac:dyDescent="0.3">
      <c r="A49" s="3">
        <v>47</v>
      </c>
      <c r="B49" s="4" t="s">
        <v>69</v>
      </c>
      <c r="C49" s="5" t="s">
        <v>19</v>
      </c>
      <c r="D49" s="8">
        <v>28402310</v>
      </c>
      <c r="E49" s="8">
        <v>33351131</v>
      </c>
      <c r="F49" s="8">
        <v>70927921</v>
      </c>
      <c r="G49" s="8">
        <v>71400456</v>
      </c>
      <c r="H49" s="8">
        <v>71628180</v>
      </c>
    </row>
    <row r="50" spans="1:8" x14ac:dyDescent="0.3">
      <c r="A50" s="3">
        <v>48</v>
      </c>
      <c r="B50" s="4" t="s">
        <v>70</v>
      </c>
      <c r="C50" s="5" t="s">
        <v>71</v>
      </c>
      <c r="D50" s="8">
        <v>21401594</v>
      </c>
      <c r="E50" s="8">
        <v>65415691</v>
      </c>
      <c r="F50" s="8">
        <v>67647073</v>
      </c>
      <c r="G50" s="8">
        <v>70520515</v>
      </c>
      <c r="H50" s="8">
        <v>71349120</v>
      </c>
    </row>
    <row r="51" spans="1:8" x14ac:dyDescent="0.3">
      <c r="A51" s="3">
        <v>49</v>
      </c>
      <c r="B51" s="4" t="s">
        <v>72</v>
      </c>
      <c r="C51" s="5" t="s">
        <v>36</v>
      </c>
      <c r="D51" s="8">
        <v>17548389</v>
      </c>
      <c r="E51" s="8">
        <v>62208836</v>
      </c>
      <c r="F51" s="8">
        <v>68852277</v>
      </c>
      <c r="G51" s="8">
        <v>70328218</v>
      </c>
      <c r="H51" s="8">
        <v>71017784</v>
      </c>
    </row>
    <row r="52" spans="1:8" x14ac:dyDescent="0.3">
      <c r="A52" s="3">
        <v>50</v>
      </c>
      <c r="B52" s="4" t="s">
        <v>73</v>
      </c>
      <c r="C52" s="5" t="s">
        <v>19</v>
      </c>
      <c r="D52" s="8">
        <v>30107555</v>
      </c>
      <c r="E52" s="8">
        <v>61414673</v>
      </c>
      <c r="F52" s="8">
        <v>64591350</v>
      </c>
      <c r="G52" s="8">
        <v>68151721</v>
      </c>
      <c r="H52" s="8">
        <v>70525195</v>
      </c>
    </row>
    <row r="53" spans="1:8" x14ac:dyDescent="0.3">
      <c r="A53" s="3">
        <v>51</v>
      </c>
      <c r="B53" s="4" t="s">
        <v>74</v>
      </c>
      <c r="C53" s="5" t="s">
        <v>32</v>
      </c>
      <c r="D53" s="8">
        <v>14401054</v>
      </c>
      <c r="E53" s="8">
        <v>28995125</v>
      </c>
      <c r="F53" s="8">
        <v>32642639</v>
      </c>
      <c r="G53" s="8">
        <v>41369217</v>
      </c>
      <c r="H53" s="8">
        <v>68559554</v>
      </c>
    </row>
    <row r="54" spans="1:8" x14ac:dyDescent="0.3">
      <c r="A54" s="3">
        <v>52</v>
      </c>
      <c r="B54" s="4" t="s">
        <v>75</v>
      </c>
      <c r="C54" s="5" t="s">
        <v>32</v>
      </c>
      <c r="D54" s="8">
        <v>24834845</v>
      </c>
      <c r="E54" s="8">
        <v>67134578</v>
      </c>
      <c r="F54" s="8">
        <v>67333575</v>
      </c>
      <c r="G54" s="8">
        <v>67347697</v>
      </c>
      <c r="H54" s="8">
        <v>67349198</v>
      </c>
    </row>
    <row r="55" spans="1:8" x14ac:dyDescent="0.3">
      <c r="A55" s="3">
        <v>53</v>
      </c>
      <c r="B55" s="4" t="s">
        <v>76</v>
      </c>
      <c r="C55" s="5" t="s">
        <v>47</v>
      </c>
      <c r="D55" s="8">
        <v>20353967</v>
      </c>
      <c r="E55" s="8">
        <v>61845062</v>
      </c>
      <c r="F55" s="8">
        <v>65682380</v>
      </c>
      <c r="G55" s="8">
        <v>66252228</v>
      </c>
      <c r="H55" s="8">
        <v>66380662</v>
      </c>
    </row>
    <row r="56" spans="1:8" x14ac:dyDescent="0.3">
      <c r="A56" s="3">
        <v>54</v>
      </c>
      <c r="B56" s="4" t="s">
        <v>77</v>
      </c>
      <c r="C56" s="5" t="s">
        <v>78</v>
      </c>
      <c r="D56" s="8">
        <v>27202226</v>
      </c>
      <c r="E56" s="8">
        <v>32783858</v>
      </c>
      <c r="F56" s="8">
        <v>55074286</v>
      </c>
      <c r="G56" s="8">
        <v>55899168</v>
      </c>
      <c r="H56" s="8">
        <v>65187603</v>
      </c>
    </row>
    <row r="57" spans="1:8" x14ac:dyDescent="0.3">
      <c r="A57" s="3">
        <v>55</v>
      </c>
      <c r="B57" s="4" t="s">
        <v>79</v>
      </c>
      <c r="C57" s="5" t="s">
        <v>19</v>
      </c>
      <c r="D57" s="8">
        <v>34058360</v>
      </c>
      <c r="E57" s="8">
        <v>56575057</v>
      </c>
      <c r="F57" s="8">
        <v>57757616</v>
      </c>
      <c r="G57" s="8">
        <v>64400427</v>
      </c>
      <c r="H57" s="8">
        <v>64473115</v>
      </c>
    </row>
    <row r="58" spans="1:8" x14ac:dyDescent="0.3">
      <c r="A58" s="3">
        <v>56</v>
      </c>
      <c r="B58" s="4" t="s">
        <v>80</v>
      </c>
      <c r="C58" s="5" t="s">
        <v>81</v>
      </c>
      <c r="D58" s="8">
        <v>16334566</v>
      </c>
      <c r="E58" s="8">
        <v>57708261</v>
      </c>
      <c r="F58" s="8">
        <v>60487775</v>
      </c>
      <c r="G58" s="8">
        <v>62105516</v>
      </c>
      <c r="H58" s="8">
        <v>63914167</v>
      </c>
    </row>
    <row r="59" spans="1:8" x14ac:dyDescent="0.3">
      <c r="A59" s="3">
        <v>57</v>
      </c>
      <c r="B59" s="4" t="s">
        <v>82</v>
      </c>
      <c r="C59" s="5" t="s">
        <v>47</v>
      </c>
      <c r="D59" s="8">
        <v>27017351</v>
      </c>
      <c r="E59" s="8">
        <v>45319835</v>
      </c>
      <c r="F59" s="8">
        <v>53514973</v>
      </c>
      <c r="G59" s="8">
        <v>56361507</v>
      </c>
      <c r="H59" s="8">
        <v>61737191</v>
      </c>
    </row>
    <row r="60" spans="1:8" x14ac:dyDescent="0.3">
      <c r="A60" s="3">
        <v>58</v>
      </c>
      <c r="B60" s="4" t="s">
        <v>83</v>
      </c>
      <c r="C60" s="5" t="s">
        <v>21</v>
      </c>
      <c r="D60" s="8">
        <v>20817053</v>
      </c>
      <c r="E60" s="8">
        <v>59692824</v>
      </c>
      <c r="F60" s="8">
        <v>60418344</v>
      </c>
      <c r="G60" s="8">
        <v>60907878</v>
      </c>
      <c r="H60" s="8">
        <v>61002302</v>
      </c>
    </row>
    <row r="61" spans="1:8" x14ac:dyDescent="0.3">
      <c r="A61" s="3">
        <v>59</v>
      </c>
      <c r="B61" s="4" t="s">
        <v>84</v>
      </c>
      <c r="C61" s="5" t="s">
        <v>36</v>
      </c>
      <c r="D61" s="8">
        <v>27520040</v>
      </c>
      <c r="E61" s="8">
        <v>51558728</v>
      </c>
      <c r="F61" s="8">
        <v>56078168</v>
      </c>
      <c r="G61" s="8">
        <v>58557326</v>
      </c>
      <c r="H61" s="8">
        <v>60522097</v>
      </c>
    </row>
    <row r="62" spans="1:8" x14ac:dyDescent="0.3">
      <c r="A62" s="3">
        <v>60</v>
      </c>
      <c r="B62" s="4" t="s">
        <v>85</v>
      </c>
      <c r="C62" s="5" t="s">
        <v>32</v>
      </c>
      <c r="D62" s="8">
        <v>12765508</v>
      </c>
      <c r="E62" s="8">
        <v>14979181</v>
      </c>
      <c r="F62" s="8">
        <v>45351405</v>
      </c>
      <c r="G62" s="8">
        <v>46784436</v>
      </c>
      <c r="H62" s="8">
        <v>58236838</v>
      </c>
    </row>
    <row r="63" spans="1:8" x14ac:dyDescent="0.3">
      <c r="A63" s="3">
        <v>61</v>
      </c>
      <c r="B63" s="4" t="s">
        <v>86</v>
      </c>
      <c r="C63" s="5" t="s">
        <v>50</v>
      </c>
      <c r="D63" s="8">
        <v>15891055</v>
      </c>
      <c r="E63" s="8">
        <v>54941437</v>
      </c>
      <c r="F63" s="8">
        <v>56251727</v>
      </c>
      <c r="G63" s="8">
        <v>56365317</v>
      </c>
      <c r="H63" s="8">
        <v>57012977</v>
      </c>
    </row>
    <row r="64" spans="1:8" x14ac:dyDescent="0.3">
      <c r="A64" s="3">
        <v>62</v>
      </c>
      <c r="B64" s="4" t="s">
        <v>87</v>
      </c>
      <c r="C64" s="5" t="s">
        <v>88</v>
      </c>
      <c r="D64" s="8">
        <v>923715</v>
      </c>
      <c r="E64" s="8">
        <v>25299306</v>
      </c>
      <c r="F64" s="8">
        <v>50075994</v>
      </c>
      <c r="G64" s="8">
        <v>54782120</v>
      </c>
      <c r="H64" s="8">
        <v>56671993</v>
      </c>
    </row>
    <row r="65" spans="1:8" x14ac:dyDescent="0.3">
      <c r="A65" s="3">
        <v>63</v>
      </c>
      <c r="B65" s="4" t="s">
        <v>89</v>
      </c>
      <c r="C65" s="5" t="s">
        <v>71</v>
      </c>
      <c r="D65" s="8">
        <v>15805237</v>
      </c>
      <c r="E65" s="8">
        <v>35901054</v>
      </c>
      <c r="F65" s="8">
        <v>48980887</v>
      </c>
      <c r="G65" s="8">
        <v>54192332</v>
      </c>
      <c r="H65" s="8">
        <v>55750480</v>
      </c>
    </row>
    <row r="66" spans="1:8" x14ac:dyDescent="0.3">
      <c r="A66" s="3">
        <v>64</v>
      </c>
      <c r="B66" s="4" t="s">
        <v>90</v>
      </c>
      <c r="C66" s="5" t="s">
        <v>28</v>
      </c>
      <c r="D66" s="8">
        <v>19690956</v>
      </c>
      <c r="E66" s="8">
        <v>33654453</v>
      </c>
      <c r="F66" s="8">
        <v>37536346</v>
      </c>
      <c r="G66" s="8">
        <v>43466669</v>
      </c>
      <c r="H66" s="8">
        <v>55703475</v>
      </c>
    </row>
    <row r="67" spans="1:8" x14ac:dyDescent="0.3">
      <c r="A67" s="3">
        <v>65</v>
      </c>
      <c r="B67" s="4" t="s">
        <v>91</v>
      </c>
      <c r="C67" s="5" t="s">
        <v>60</v>
      </c>
      <c r="D67" s="8">
        <v>25775847</v>
      </c>
      <c r="E67" s="8">
        <v>41453596</v>
      </c>
      <c r="F67" s="8">
        <v>46615674</v>
      </c>
      <c r="G67" s="8">
        <v>50047111</v>
      </c>
      <c r="H67" s="8">
        <v>54239856</v>
      </c>
    </row>
    <row r="68" spans="1:8" x14ac:dyDescent="0.3">
      <c r="A68" s="3">
        <v>66</v>
      </c>
      <c r="B68" s="4" t="s">
        <v>92</v>
      </c>
      <c r="C68" s="5" t="s">
        <v>47</v>
      </c>
      <c r="D68" s="8">
        <v>18048422</v>
      </c>
      <c r="E68" s="8">
        <v>29691359</v>
      </c>
      <c r="F68" s="8">
        <v>40063009</v>
      </c>
      <c r="G68" s="8">
        <v>47249740</v>
      </c>
      <c r="H68" s="8">
        <v>53262560</v>
      </c>
    </row>
    <row r="69" spans="1:8" x14ac:dyDescent="0.3">
      <c r="A69" s="3">
        <v>67</v>
      </c>
      <c r="B69" s="4" t="s">
        <v>93</v>
      </c>
      <c r="C69" s="5" t="s">
        <v>14</v>
      </c>
      <c r="D69" s="8">
        <v>16007634</v>
      </c>
      <c r="E69" s="8">
        <v>39290956</v>
      </c>
      <c r="F69" s="8">
        <v>50100727</v>
      </c>
      <c r="G69" s="8">
        <v>51556828</v>
      </c>
      <c r="H69" s="8">
        <v>52543354</v>
      </c>
    </row>
    <row r="70" spans="1:8" x14ac:dyDescent="0.3">
      <c r="A70" s="3">
        <v>68</v>
      </c>
      <c r="B70" s="4" t="s">
        <v>94</v>
      </c>
      <c r="C70" s="5" t="s">
        <v>14</v>
      </c>
      <c r="D70" s="8">
        <v>21641679</v>
      </c>
      <c r="E70" s="8">
        <v>25522209</v>
      </c>
      <c r="F70" s="8">
        <v>51655913</v>
      </c>
      <c r="G70" s="8">
        <v>51807322</v>
      </c>
      <c r="H70" s="8">
        <v>51975354</v>
      </c>
    </row>
    <row r="71" spans="1:8" x14ac:dyDescent="0.3">
      <c r="A71" s="3">
        <v>69</v>
      </c>
      <c r="B71" s="4" t="s">
        <v>95</v>
      </c>
      <c r="C71" s="5" t="s">
        <v>60</v>
      </c>
      <c r="D71" s="8">
        <v>17118745</v>
      </c>
      <c r="E71" s="8">
        <v>19501350</v>
      </c>
      <c r="F71" s="8">
        <v>42354886</v>
      </c>
      <c r="G71" s="8">
        <v>49912997</v>
      </c>
      <c r="H71" s="8">
        <v>51872378</v>
      </c>
    </row>
    <row r="72" spans="1:8" x14ac:dyDescent="0.3">
      <c r="A72" s="3">
        <v>70</v>
      </c>
      <c r="B72" s="4" t="s">
        <v>96</v>
      </c>
      <c r="C72" s="5" t="s">
        <v>28</v>
      </c>
      <c r="D72" s="8">
        <v>20244505</v>
      </c>
      <c r="E72" s="8">
        <v>36295487</v>
      </c>
      <c r="F72" s="8">
        <v>46193592</v>
      </c>
      <c r="G72" s="8">
        <v>48582639</v>
      </c>
      <c r="H72" s="8">
        <v>49875291</v>
      </c>
    </row>
    <row r="73" spans="1:8" x14ac:dyDescent="0.3">
      <c r="A73" s="3">
        <v>71</v>
      </c>
      <c r="B73" s="4" t="s">
        <v>97</v>
      </c>
      <c r="C73" s="5" t="s">
        <v>21</v>
      </c>
      <c r="D73" s="8">
        <v>17070347</v>
      </c>
      <c r="E73" s="8">
        <v>29595184</v>
      </c>
      <c r="F73" s="8">
        <v>38855317</v>
      </c>
      <c r="G73" s="8">
        <v>38941800</v>
      </c>
      <c r="H73" s="8">
        <v>46000903</v>
      </c>
    </row>
    <row r="74" spans="1:8" x14ac:dyDescent="0.3">
      <c r="A74" s="3">
        <v>72</v>
      </c>
      <c r="B74" s="4" t="s">
        <v>98</v>
      </c>
      <c r="C74" s="5" t="s">
        <v>19</v>
      </c>
      <c r="D74" s="8">
        <v>18620145</v>
      </c>
      <c r="E74" s="8">
        <v>41290508</v>
      </c>
      <c r="F74" s="8">
        <v>42712643</v>
      </c>
      <c r="G74" s="8">
        <v>44858277</v>
      </c>
      <c r="H74" s="8">
        <v>45385935</v>
      </c>
    </row>
    <row r="75" spans="1:8" x14ac:dyDescent="0.3">
      <c r="A75" s="3">
        <v>73</v>
      </c>
      <c r="B75" s="4" t="s">
        <v>99</v>
      </c>
      <c r="C75" s="5" t="s">
        <v>32</v>
      </c>
      <c r="D75" s="8">
        <v>17325307</v>
      </c>
      <c r="E75" s="8">
        <v>22051941</v>
      </c>
      <c r="F75" s="8">
        <v>23931641</v>
      </c>
      <c r="G75" s="8">
        <v>37721143</v>
      </c>
      <c r="H75" s="8">
        <v>44672764</v>
      </c>
    </row>
    <row r="76" spans="1:8" x14ac:dyDescent="0.3">
      <c r="A76" s="3">
        <v>74</v>
      </c>
      <c r="B76" s="4" t="s">
        <v>100</v>
      </c>
      <c r="C76" s="5" t="s">
        <v>14</v>
      </c>
      <c r="D76" s="8">
        <v>7846426</v>
      </c>
      <c r="E76" s="8">
        <v>30461568</v>
      </c>
      <c r="F76" s="8">
        <v>43235004</v>
      </c>
      <c r="G76" s="8">
        <v>43519736</v>
      </c>
      <c r="H76" s="8">
        <v>44467206</v>
      </c>
    </row>
    <row r="77" spans="1:8" x14ac:dyDescent="0.3">
      <c r="A77" s="3">
        <v>75</v>
      </c>
      <c r="B77" s="4" t="s">
        <v>101</v>
      </c>
      <c r="C77" s="5" t="s">
        <v>47</v>
      </c>
      <c r="D77" s="8">
        <v>13167607</v>
      </c>
      <c r="E77" s="8">
        <v>26532550</v>
      </c>
      <c r="F77" s="8">
        <v>35668352</v>
      </c>
      <c r="G77" s="8">
        <v>38041114</v>
      </c>
      <c r="H77" s="8">
        <v>42930462</v>
      </c>
    </row>
    <row r="78" spans="1:8" x14ac:dyDescent="0.3">
      <c r="A78" s="3">
        <v>76</v>
      </c>
      <c r="B78" s="4" t="s">
        <v>102</v>
      </c>
      <c r="C78" s="5" t="s">
        <v>19</v>
      </c>
      <c r="D78" s="8">
        <v>19030375</v>
      </c>
      <c r="E78" s="8">
        <v>36417054</v>
      </c>
      <c r="F78" s="8">
        <v>38023573</v>
      </c>
      <c r="G78" s="8">
        <v>41598883</v>
      </c>
      <c r="H78" s="8">
        <v>42025135</v>
      </c>
    </row>
    <row r="79" spans="1:8" x14ac:dyDescent="0.3">
      <c r="A79" s="3">
        <v>77</v>
      </c>
      <c r="B79" s="4" t="s">
        <v>103</v>
      </c>
      <c r="C79" s="5" t="s">
        <v>104</v>
      </c>
      <c r="D79" s="8">
        <v>18101682</v>
      </c>
      <c r="E79" s="8">
        <v>38393515</v>
      </c>
      <c r="F79" s="8">
        <v>39994213</v>
      </c>
      <c r="G79" s="8">
        <v>40009927</v>
      </c>
      <c r="H79" s="8">
        <v>40041683</v>
      </c>
    </row>
    <row r="80" spans="1:8" x14ac:dyDescent="0.3">
      <c r="A80" s="3">
        <v>78</v>
      </c>
      <c r="B80" s="4" t="s">
        <v>105</v>
      </c>
      <c r="C80" s="5" t="s">
        <v>19</v>
      </c>
      <c r="D80" s="8">
        <v>9910310</v>
      </c>
      <c r="E80" s="8">
        <v>29726014</v>
      </c>
      <c r="F80" s="8">
        <v>30425861</v>
      </c>
      <c r="G80" s="8">
        <v>31762542</v>
      </c>
      <c r="H80" s="8">
        <v>38362475</v>
      </c>
    </row>
    <row r="81" spans="1:8" x14ac:dyDescent="0.3">
      <c r="A81" s="3">
        <v>79</v>
      </c>
      <c r="B81" s="4" t="s">
        <v>106</v>
      </c>
      <c r="C81" s="5" t="s">
        <v>50</v>
      </c>
      <c r="D81" s="8">
        <v>179302</v>
      </c>
      <c r="E81" s="8">
        <v>37571708</v>
      </c>
      <c r="F81" s="8">
        <v>37610471</v>
      </c>
      <c r="G81" s="8">
        <v>37625482</v>
      </c>
      <c r="H81" s="8">
        <v>37738810</v>
      </c>
    </row>
    <row r="82" spans="1:8" x14ac:dyDescent="0.3">
      <c r="A82" s="3">
        <v>80</v>
      </c>
      <c r="B82" s="4" t="s">
        <v>107</v>
      </c>
      <c r="C82" s="5" t="s">
        <v>50</v>
      </c>
      <c r="D82" s="8">
        <v>128435</v>
      </c>
      <c r="E82" s="8">
        <v>2600238</v>
      </c>
      <c r="F82" s="8">
        <v>21724440</v>
      </c>
      <c r="G82" s="8">
        <v>34736708</v>
      </c>
      <c r="H82" s="8">
        <v>37709979</v>
      </c>
    </row>
    <row r="83" spans="1:8" x14ac:dyDescent="0.3">
      <c r="A83" s="3">
        <v>81</v>
      </c>
      <c r="B83" s="4" t="s">
        <v>108</v>
      </c>
      <c r="C83" s="5" t="s">
        <v>71</v>
      </c>
      <c r="D83" s="8">
        <v>14034764</v>
      </c>
      <c r="E83" s="8">
        <v>35095731</v>
      </c>
      <c r="F83" s="8">
        <v>35555231</v>
      </c>
      <c r="G83" s="8">
        <v>35838819</v>
      </c>
      <c r="H83" s="8">
        <v>36918811</v>
      </c>
    </row>
    <row r="84" spans="1:8" x14ac:dyDescent="0.3">
      <c r="A84" s="3">
        <v>82</v>
      </c>
      <c r="B84" s="4" t="s">
        <v>109</v>
      </c>
      <c r="C84" s="5" t="s">
        <v>32</v>
      </c>
      <c r="D84" s="8">
        <v>7091938</v>
      </c>
      <c r="E84" s="8">
        <v>33588864</v>
      </c>
      <c r="F84" s="8">
        <v>35257423</v>
      </c>
      <c r="G84" s="8">
        <v>35978256</v>
      </c>
      <c r="H84" s="8">
        <v>36076121</v>
      </c>
    </row>
    <row r="85" spans="1:8" x14ac:dyDescent="0.3">
      <c r="A85" s="3">
        <v>83</v>
      </c>
      <c r="B85" s="4" t="s">
        <v>110</v>
      </c>
      <c r="C85" s="5" t="s">
        <v>111</v>
      </c>
      <c r="D85" s="8">
        <v>16101552</v>
      </c>
      <c r="E85" s="8">
        <v>18946447</v>
      </c>
      <c r="F85" s="8">
        <v>26961929</v>
      </c>
      <c r="G85" s="8">
        <v>30579108</v>
      </c>
      <c r="H85" s="8">
        <v>35266619</v>
      </c>
    </row>
    <row r="86" spans="1:8" x14ac:dyDescent="0.3">
      <c r="A86" s="3">
        <v>84</v>
      </c>
      <c r="B86" s="4" t="s">
        <v>112</v>
      </c>
      <c r="C86" s="5" t="s">
        <v>14</v>
      </c>
      <c r="D86" s="8">
        <v>21744470</v>
      </c>
      <c r="E86" s="8">
        <v>29250578</v>
      </c>
      <c r="F86" s="8">
        <v>29389810</v>
      </c>
      <c r="G86" s="8">
        <v>31728765</v>
      </c>
      <c r="H86" s="8">
        <v>34341945</v>
      </c>
    </row>
    <row r="87" spans="1:8" x14ac:dyDescent="0.3">
      <c r="A87" s="3">
        <v>85</v>
      </c>
      <c r="B87" s="4" t="s">
        <v>113</v>
      </c>
      <c r="C87" s="5" t="s">
        <v>19</v>
      </c>
      <c r="D87" s="8">
        <v>12691415</v>
      </c>
      <c r="E87" s="8">
        <v>31632795</v>
      </c>
      <c r="F87" s="8">
        <v>32521671</v>
      </c>
      <c r="G87" s="8">
        <v>33301105</v>
      </c>
      <c r="H87" s="8">
        <v>33618855</v>
      </c>
    </row>
    <row r="88" spans="1:8" x14ac:dyDescent="0.3">
      <c r="A88" s="3">
        <v>86</v>
      </c>
      <c r="B88" s="4" t="s">
        <v>114</v>
      </c>
      <c r="C88" s="5" t="s">
        <v>115</v>
      </c>
      <c r="D88" s="8">
        <v>612064</v>
      </c>
      <c r="E88" s="8">
        <v>13678453</v>
      </c>
      <c r="F88" s="8">
        <v>29414311</v>
      </c>
      <c r="G88" s="8">
        <v>30729073</v>
      </c>
      <c r="H88" s="8">
        <v>33405481</v>
      </c>
    </row>
    <row r="89" spans="1:8" x14ac:dyDescent="0.3">
      <c r="A89" s="3">
        <v>87</v>
      </c>
      <c r="B89" s="4" t="s">
        <v>116</v>
      </c>
      <c r="C89" s="5" t="s">
        <v>47</v>
      </c>
      <c r="D89" s="8">
        <v>10030463</v>
      </c>
      <c r="E89" s="8">
        <v>19007334</v>
      </c>
      <c r="F89" s="8">
        <v>29526603</v>
      </c>
      <c r="G89" s="8">
        <v>29783853</v>
      </c>
      <c r="H89" s="8">
        <v>32244051</v>
      </c>
    </row>
    <row r="90" spans="1:8" x14ac:dyDescent="0.3">
      <c r="A90" s="3">
        <v>88</v>
      </c>
      <c r="B90" s="4" t="s">
        <v>117</v>
      </c>
      <c r="C90" s="5" t="s">
        <v>104</v>
      </c>
      <c r="D90" s="8">
        <v>9303145</v>
      </c>
      <c r="E90" s="8">
        <v>22512086</v>
      </c>
      <c r="F90" s="8">
        <v>30610209</v>
      </c>
      <c r="G90" s="8">
        <v>30653488</v>
      </c>
      <c r="H90" s="8">
        <v>32172757</v>
      </c>
    </row>
    <row r="91" spans="1:8" x14ac:dyDescent="0.3">
      <c r="A91" s="3">
        <v>89</v>
      </c>
      <c r="B91" s="4" t="s">
        <v>118</v>
      </c>
      <c r="C91" s="5" t="s">
        <v>119</v>
      </c>
      <c r="D91" s="8">
        <v>14157367</v>
      </c>
      <c r="E91" s="8">
        <v>19842407</v>
      </c>
      <c r="F91" s="8">
        <v>25319228</v>
      </c>
      <c r="G91" s="8">
        <v>27937579</v>
      </c>
      <c r="H91" s="8">
        <v>32015787</v>
      </c>
    </row>
    <row r="92" spans="1:8" x14ac:dyDescent="0.3">
      <c r="A92" s="3">
        <v>90</v>
      </c>
      <c r="B92" s="4" t="s">
        <v>120</v>
      </c>
      <c r="C92" s="5" t="s">
        <v>111</v>
      </c>
      <c r="D92" s="8">
        <v>9336957</v>
      </c>
      <c r="E92" s="8">
        <v>24092679</v>
      </c>
      <c r="F92" s="8">
        <v>28883126</v>
      </c>
      <c r="G92" s="8">
        <v>30819803</v>
      </c>
      <c r="H92" s="8">
        <v>31165421</v>
      </c>
    </row>
    <row r="93" spans="1:8" x14ac:dyDescent="0.3">
      <c r="A93" s="3">
        <v>91</v>
      </c>
      <c r="B93" s="4" t="s">
        <v>121</v>
      </c>
      <c r="C93" s="5" t="s">
        <v>16</v>
      </c>
      <c r="D93" s="8">
        <v>7944977</v>
      </c>
      <c r="E93" s="8">
        <v>26296151</v>
      </c>
      <c r="F93" s="8">
        <v>28608187</v>
      </c>
      <c r="G93" s="8">
        <v>29436154</v>
      </c>
      <c r="H93" s="8">
        <v>30664106</v>
      </c>
    </row>
    <row r="94" spans="1:8" x14ac:dyDescent="0.3">
      <c r="A94" s="3">
        <v>92</v>
      </c>
      <c r="B94" s="4" t="s">
        <v>122</v>
      </c>
      <c r="C94" s="5" t="s">
        <v>21</v>
      </c>
      <c r="D94" s="8">
        <v>7021993</v>
      </c>
      <c r="E94" s="8">
        <v>7719721</v>
      </c>
      <c r="F94" s="8">
        <v>29382406</v>
      </c>
      <c r="G94" s="8">
        <v>29406299</v>
      </c>
      <c r="H94" s="8">
        <v>29807260</v>
      </c>
    </row>
    <row r="95" spans="1:8" x14ac:dyDescent="0.3">
      <c r="A95" s="3">
        <v>93</v>
      </c>
      <c r="B95" s="4" t="s">
        <v>123</v>
      </c>
      <c r="C95" s="5" t="s">
        <v>60</v>
      </c>
      <c r="D95" s="8">
        <v>15815497</v>
      </c>
      <c r="E95" s="8">
        <v>25841099</v>
      </c>
      <c r="F95" s="8">
        <v>28331992</v>
      </c>
      <c r="G95" s="8">
        <v>28341448</v>
      </c>
      <c r="H95" s="8">
        <v>28873374</v>
      </c>
    </row>
    <row r="96" spans="1:8" x14ac:dyDescent="0.3">
      <c r="A96" s="3">
        <v>94</v>
      </c>
      <c r="B96" s="4" t="s">
        <v>124</v>
      </c>
      <c r="C96" s="5" t="s">
        <v>19</v>
      </c>
      <c r="D96" s="8">
        <v>13332955</v>
      </c>
      <c r="E96" s="8">
        <v>18782297</v>
      </c>
      <c r="F96" s="8">
        <v>27975766</v>
      </c>
      <c r="G96" s="8">
        <v>28332385</v>
      </c>
      <c r="H96" s="8">
        <v>28795985</v>
      </c>
    </row>
    <row r="97" spans="1:8" x14ac:dyDescent="0.3">
      <c r="A97" s="3">
        <v>95</v>
      </c>
      <c r="B97" s="4" t="s">
        <v>125</v>
      </c>
      <c r="C97" s="5" t="s">
        <v>126</v>
      </c>
      <c r="D97" s="8">
        <v>260865</v>
      </c>
      <c r="E97" s="8">
        <v>15876601</v>
      </c>
      <c r="F97" s="8">
        <v>23365995</v>
      </c>
      <c r="G97" s="8">
        <v>25578590</v>
      </c>
      <c r="H97" s="8">
        <v>27298285</v>
      </c>
    </row>
    <row r="98" spans="1:8" x14ac:dyDescent="0.3">
      <c r="A98" s="3">
        <v>96</v>
      </c>
      <c r="B98" s="4" t="s">
        <v>127</v>
      </c>
      <c r="C98" s="5" t="s">
        <v>19</v>
      </c>
      <c r="D98" s="8">
        <v>187289</v>
      </c>
      <c r="E98" s="8">
        <v>14181602</v>
      </c>
      <c r="F98" s="8">
        <v>17021258</v>
      </c>
      <c r="G98" s="8">
        <v>18257207</v>
      </c>
      <c r="H98" s="8">
        <v>26947624</v>
      </c>
    </row>
    <row r="99" spans="1:8" x14ac:dyDescent="0.3">
      <c r="A99" s="3">
        <v>97</v>
      </c>
      <c r="B99" s="4" t="s">
        <v>128</v>
      </c>
      <c r="C99" s="5" t="s">
        <v>104</v>
      </c>
      <c r="D99" s="8">
        <v>10600112</v>
      </c>
      <c r="E99" s="8">
        <v>18481926</v>
      </c>
      <c r="F99" s="8">
        <v>23864740</v>
      </c>
      <c r="G99" s="8">
        <v>25350930</v>
      </c>
      <c r="H99" s="8">
        <v>26627201</v>
      </c>
    </row>
    <row r="100" spans="1:8" x14ac:dyDescent="0.3">
      <c r="A100" s="3">
        <v>98</v>
      </c>
      <c r="B100" s="4" t="s">
        <v>129</v>
      </c>
      <c r="C100" s="5" t="s">
        <v>126</v>
      </c>
      <c r="D100" s="8">
        <v>8811790</v>
      </c>
      <c r="E100" s="8">
        <v>13530687</v>
      </c>
      <c r="F100" s="8">
        <v>17596326</v>
      </c>
      <c r="G100" s="8">
        <v>23195380</v>
      </c>
      <c r="H100" s="8">
        <v>26004851</v>
      </c>
    </row>
    <row r="101" spans="1:8" x14ac:dyDescent="0.3">
      <c r="A101" s="3">
        <v>99</v>
      </c>
      <c r="B101" s="4" t="s">
        <v>130</v>
      </c>
      <c r="C101" s="5" t="s">
        <v>71</v>
      </c>
      <c r="D101" s="8">
        <v>8754168</v>
      </c>
      <c r="E101" s="8">
        <v>23982994</v>
      </c>
      <c r="F101" s="8">
        <v>24255980</v>
      </c>
      <c r="G101" s="8">
        <v>25286477</v>
      </c>
      <c r="H101" s="8">
        <v>25682380</v>
      </c>
    </row>
    <row r="102" spans="1:8" x14ac:dyDescent="0.3">
      <c r="A102" s="3">
        <v>100</v>
      </c>
      <c r="B102" s="4" t="s">
        <v>131</v>
      </c>
      <c r="C102" s="5" t="s">
        <v>21</v>
      </c>
      <c r="D102" s="8">
        <v>260382</v>
      </c>
      <c r="E102" s="8">
        <v>1376604</v>
      </c>
      <c r="F102" s="8">
        <v>15443871</v>
      </c>
      <c r="G102" s="8">
        <v>24097375</v>
      </c>
      <c r="H102" s="8">
        <v>25568251</v>
      </c>
    </row>
  </sheetData>
  <autoFilter ref="A2:H2">
    <sortState ref="A3:H102">
      <sortCondition descending="1" ref="H2"/>
    </sortState>
  </autoFilter>
  <mergeCells count="1">
    <mergeCell ref="A1:H1"/>
  </mergeCell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Sparklines!D3:H3</xm:f>
              <xm:sqref>I3</xm:sqref>
            </x14:sparkline>
            <x14:sparkline>
              <xm:f>Sparklines!D4:H4</xm:f>
              <xm:sqref>I4</xm:sqref>
            </x14:sparkline>
            <x14:sparkline>
              <xm:f>Sparklines!D5:H5</xm:f>
              <xm:sqref>I5</xm:sqref>
            </x14:sparkline>
            <x14:sparkline>
              <xm:f>Sparklines!D6:H6</xm:f>
              <xm:sqref>I6</xm:sqref>
            </x14:sparkline>
            <x14:sparkline>
              <xm:f>Sparklines!D7:H7</xm:f>
              <xm:sqref>I7</xm:sqref>
            </x14:sparkline>
            <x14:sparkline>
              <xm:f>Sparklines!D8:H8</xm:f>
              <xm:sqref>I8</xm:sqref>
            </x14:sparkline>
            <x14:sparkline>
              <xm:f>Sparklines!D9:H9</xm:f>
              <xm:sqref>I9</xm:sqref>
            </x14:sparkline>
            <x14:sparkline>
              <xm:f>Sparklines!D10:H10</xm:f>
              <xm:sqref>I10</xm:sqref>
            </x14:sparkline>
            <x14:sparkline>
              <xm:f>Sparklines!D11:H11</xm:f>
              <xm:sqref>I11</xm:sqref>
            </x14:sparkline>
            <x14:sparkline>
              <xm:f>Sparklines!D12:H12</xm:f>
              <xm:sqref>I12</xm:sqref>
            </x14:sparkline>
            <x14:sparkline>
              <xm:f>Sparklines!D13:H13</xm:f>
              <xm:sqref>I13</xm:sqref>
            </x14:sparkline>
            <x14:sparkline>
              <xm:f>Sparklines!D14:H14</xm:f>
              <xm:sqref>I14</xm:sqref>
            </x14:sparkline>
            <x14:sparkline>
              <xm:f>Sparklines!D15:H15</xm:f>
              <xm:sqref>I15</xm:sqref>
            </x14:sparkline>
            <x14:sparkline>
              <xm:f>Sparklines!D16:H16</xm:f>
              <xm:sqref>I16</xm:sqref>
            </x14:sparkline>
            <x14:sparkline>
              <xm:f>Sparklines!D17:H17</xm:f>
              <xm:sqref>I17</xm:sqref>
            </x14:sparkline>
            <x14:sparkline>
              <xm:f>Sparklines!D18:H18</xm:f>
              <xm:sqref>I18</xm:sqref>
            </x14:sparkline>
            <x14:sparkline>
              <xm:f>Sparklines!D19:H19</xm:f>
              <xm:sqref>I19</xm:sqref>
            </x14:sparkline>
            <x14:sparkline>
              <xm:f>Sparklines!D20:H20</xm:f>
              <xm:sqref>I20</xm:sqref>
            </x14:sparkline>
            <x14:sparkline>
              <xm:f>Sparklines!D21:H21</xm:f>
              <xm:sqref>I21</xm:sqref>
            </x14:sparkline>
            <x14:sparkline>
              <xm:f>Sparklines!D22:H22</xm:f>
              <xm:sqref>I22</xm:sqref>
            </x14:sparkline>
            <x14:sparkline>
              <xm:f>Sparklines!D23:H23</xm:f>
              <xm:sqref>I23</xm:sqref>
            </x14:sparkline>
            <x14:sparkline>
              <xm:f>Sparklines!D24:H24</xm:f>
              <xm:sqref>I24</xm:sqref>
            </x14:sparkline>
            <x14:sparkline>
              <xm:f>Sparklines!D25:H25</xm:f>
              <xm:sqref>I25</xm:sqref>
            </x14:sparkline>
            <x14:sparkline>
              <xm:f>Sparklines!D26:H26</xm:f>
              <xm:sqref>I26</xm:sqref>
            </x14:sparkline>
            <x14:sparkline>
              <xm:f>Sparklines!D27:H27</xm:f>
              <xm:sqref>I27</xm:sqref>
            </x14:sparkline>
            <x14:sparkline>
              <xm:f>Sparklines!D28:H28</xm:f>
              <xm:sqref>I28</xm:sqref>
            </x14:sparkline>
            <x14:sparkline>
              <xm:f>Sparklines!D29:H29</xm:f>
              <xm:sqref>I29</xm:sqref>
            </x14:sparkline>
            <x14:sparkline>
              <xm:f>Sparklines!D30:H30</xm:f>
              <xm:sqref>I30</xm:sqref>
            </x14:sparkline>
            <x14:sparkline>
              <xm:f>Sparklines!D31:H31</xm:f>
              <xm:sqref>I31</xm:sqref>
            </x14:sparkline>
            <x14:sparkline>
              <xm:f>Sparklines!D32:H32</xm:f>
              <xm:sqref>I32</xm:sqref>
            </x14:sparkline>
            <x14:sparkline>
              <xm:f>Sparklines!D33:H33</xm:f>
              <xm:sqref>I33</xm:sqref>
            </x14:sparkline>
            <x14:sparkline>
              <xm:f>Sparklines!D34:H34</xm:f>
              <xm:sqref>I34</xm:sqref>
            </x14:sparkline>
            <x14:sparkline>
              <xm:f>Sparklines!D35:H35</xm:f>
              <xm:sqref>I35</xm:sqref>
            </x14:sparkline>
            <x14:sparkline>
              <xm:f>Sparklines!D36:H36</xm:f>
              <xm:sqref>I36</xm:sqref>
            </x14:sparkline>
            <x14:sparkline>
              <xm:f>Sparklines!D37:H37</xm:f>
              <xm:sqref>I37</xm:sqref>
            </x14:sparkline>
            <x14:sparkline>
              <xm:f>Sparklines!D38:H38</xm:f>
              <xm:sqref>I38</xm:sqref>
            </x14:sparkline>
            <x14:sparkline>
              <xm:f>Sparklines!D39:H39</xm:f>
              <xm:sqref>I39</xm:sqref>
            </x14:sparkline>
            <x14:sparkline>
              <xm:f>Sparklines!D40:H40</xm:f>
              <xm:sqref>I40</xm:sqref>
            </x14:sparkline>
            <x14:sparkline>
              <xm:f>Sparklines!D41:H41</xm:f>
              <xm:sqref>I41</xm:sqref>
            </x14:sparkline>
            <x14:sparkline>
              <xm:f>Sparklines!D42:H42</xm:f>
              <xm:sqref>I42</xm:sqref>
            </x14:sparkline>
            <x14:sparkline>
              <xm:f>Sparklines!D43:H43</xm:f>
              <xm:sqref>I43</xm:sqref>
            </x14:sparkline>
            <x14:sparkline>
              <xm:f>Sparklines!D44:H44</xm:f>
              <xm:sqref>I44</xm:sqref>
            </x14:sparkline>
            <x14:sparkline>
              <xm:f>Sparklines!D45:H45</xm:f>
              <xm:sqref>I45</xm:sqref>
            </x14:sparkline>
            <x14:sparkline>
              <xm:f>Sparklines!D46:H46</xm:f>
              <xm:sqref>I46</xm:sqref>
            </x14:sparkline>
            <x14:sparkline>
              <xm:f>Sparklines!D47:H47</xm:f>
              <xm:sqref>I47</xm:sqref>
            </x14:sparkline>
            <x14:sparkline>
              <xm:f>Sparklines!D48:H48</xm:f>
              <xm:sqref>I48</xm:sqref>
            </x14:sparkline>
            <x14:sparkline>
              <xm:f>Sparklines!D49:H49</xm:f>
              <xm:sqref>I49</xm:sqref>
            </x14:sparkline>
            <x14:sparkline>
              <xm:f>Sparklines!D50:H50</xm:f>
              <xm:sqref>I50</xm:sqref>
            </x14:sparkline>
            <x14:sparkline>
              <xm:f>Sparklines!D51:H51</xm:f>
              <xm:sqref>I51</xm:sqref>
            </x14:sparkline>
            <x14:sparkline>
              <xm:f>Sparklines!D52:H52</xm:f>
              <xm:sqref>I52</xm:sqref>
            </x14:sparkline>
            <x14:sparkline>
              <xm:f>Sparklines!D53:H53</xm:f>
              <xm:sqref>I53</xm:sqref>
            </x14:sparkline>
            <x14:sparkline>
              <xm:f>Sparklines!D54:H54</xm:f>
              <xm:sqref>I54</xm:sqref>
            </x14:sparkline>
            <x14:sparkline>
              <xm:f>Sparklines!D55:H55</xm:f>
              <xm:sqref>I55</xm:sqref>
            </x14:sparkline>
            <x14:sparkline>
              <xm:f>Sparklines!D56:H56</xm:f>
              <xm:sqref>I56</xm:sqref>
            </x14:sparkline>
            <x14:sparkline>
              <xm:f>Sparklines!D57:H57</xm:f>
              <xm:sqref>I57</xm:sqref>
            </x14:sparkline>
            <x14:sparkline>
              <xm:f>Sparklines!D58:H58</xm:f>
              <xm:sqref>I58</xm:sqref>
            </x14:sparkline>
            <x14:sparkline>
              <xm:f>Sparklines!D59:H59</xm:f>
              <xm:sqref>I59</xm:sqref>
            </x14:sparkline>
            <x14:sparkline>
              <xm:f>Sparklines!D60:H60</xm:f>
              <xm:sqref>I60</xm:sqref>
            </x14:sparkline>
            <x14:sparkline>
              <xm:f>Sparklines!D61:H61</xm:f>
              <xm:sqref>I61</xm:sqref>
            </x14:sparkline>
            <x14:sparkline>
              <xm:f>Sparklines!D62:H62</xm:f>
              <xm:sqref>I62</xm:sqref>
            </x14:sparkline>
            <x14:sparkline>
              <xm:f>Sparklines!D63:H63</xm:f>
              <xm:sqref>I63</xm:sqref>
            </x14:sparkline>
            <x14:sparkline>
              <xm:f>Sparklines!D64:H64</xm:f>
              <xm:sqref>I64</xm:sqref>
            </x14:sparkline>
            <x14:sparkline>
              <xm:f>Sparklines!D65:H65</xm:f>
              <xm:sqref>I65</xm:sqref>
            </x14:sparkline>
            <x14:sparkline>
              <xm:f>Sparklines!D66:H66</xm:f>
              <xm:sqref>I66</xm:sqref>
            </x14:sparkline>
            <x14:sparkline>
              <xm:f>Sparklines!D67:H67</xm:f>
              <xm:sqref>I67</xm:sqref>
            </x14:sparkline>
            <x14:sparkline>
              <xm:f>Sparklines!D68:H68</xm:f>
              <xm:sqref>I68</xm:sqref>
            </x14:sparkline>
            <x14:sparkline>
              <xm:f>Sparklines!D69:H69</xm:f>
              <xm:sqref>I69</xm:sqref>
            </x14:sparkline>
            <x14:sparkline>
              <xm:f>Sparklines!D70:H70</xm:f>
              <xm:sqref>I70</xm:sqref>
            </x14:sparkline>
            <x14:sparkline>
              <xm:f>Sparklines!D71:H71</xm:f>
              <xm:sqref>I71</xm:sqref>
            </x14:sparkline>
            <x14:sparkline>
              <xm:f>Sparklines!D72:H72</xm:f>
              <xm:sqref>I72</xm:sqref>
            </x14:sparkline>
            <x14:sparkline>
              <xm:f>Sparklines!D73:H73</xm:f>
              <xm:sqref>I73</xm:sqref>
            </x14:sparkline>
            <x14:sparkline>
              <xm:f>Sparklines!D74:H74</xm:f>
              <xm:sqref>I74</xm:sqref>
            </x14:sparkline>
            <x14:sparkline>
              <xm:f>Sparklines!D75:H75</xm:f>
              <xm:sqref>I75</xm:sqref>
            </x14:sparkline>
            <x14:sparkline>
              <xm:f>Sparklines!D76:H76</xm:f>
              <xm:sqref>I76</xm:sqref>
            </x14:sparkline>
            <x14:sparkline>
              <xm:f>Sparklines!D77:H77</xm:f>
              <xm:sqref>I77</xm:sqref>
            </x14:sparkline>
            <x14:sparkline>
              <xm:f>Sparklines!D78:H78</xm:f>
              <xm:sqref>I78</xm:sqref>
            </x14:sparkline>
            <x14:sparkline>
              <xm:f>Sparklines!D79:H79</xm:f>
              <xm:sqref>I79</xm:sqref>
            </x14:sparkline>
            <x14:sparkline>
              <xm:f>Sparklines!D80:H80</xm:f>
              <xm:sqref>I80</xm:sqref>
            </x14:sparkline>
            <x14:sparkline>
              <xm:f>Sparklines!D81:H81</xm:f>
              <xm:sqref>I81</xm:sqref>
            </x14:sparkline>
            <x14:sparkline>
              <xm:f>Sparklines!D82:H82</xm:f>
              <xm:sqref>I82</xm:sqref>
            </x14:sparkline>
            <x14:sparkline>
              <xm:f>Sparklines!D83:H83</xm:f>
              <xm:sqref>I83</xm:sqref>
            </x14:sparkline>
            <x14:sparkline>
              <xm:f>Sparklines!D84:H84</xm:f>
              <xm:sqref>I84</xm:sqref>
            </x14:sparkline>
            <x14:sparkline>
              <xm:f>Sparklines!D85:H85</xm:f>
              <xm:sqref>I85</xm:sqref>
            </x14:sparkline>
            <x14:sparkline>
              <xm:f>Sparklines!D86:H86</xm:f>
              <xm:sqref>I86</xm:sqref>
            </x14:sparkline>
            <x14:sparkline>
              <xm:f>Sparklines!D87:H87</xm:f>
              <xm:sqref>I87</xm:sqref>
            </x14:sparkline>
            <x14:sparkline>
              <xm:f>Sparklines!D88:H88</xm:f>
              <xm:sqref>I88</xm:sqref>
            </x14:sparkline>
            <x14:sparkline>
              <xm:f>Sparklines!D89:H89</xm:f>
              <xm:sqref>I89</xm:sqref>
            </x14:sparkline>
            <x14:sparkline>
              <xm:f>Sparklines!D90:H90</xm:f>
              <xm:sqref>I90</xm:sqref>
            </x14:sparkline>
            <x14:sparkline>
              <xm:f>Sparklines!D91:H91</xm:f>
              <xm:sqref>I91</xm:sqref>
            </x14:sparkline>
            <x14:sparkline>
              <xm:f>Sparklines!D92:H92</xm:f>
              <xm:sqref>I92</xm:sqref>
            </x14:sparkline>
            <x14:sparkline>
              <xm:f>Sparklines!D93:H93</xm:f>
              <xm:sqref>I93</xm:sqref>
            </x14:sparkline>
            <x14:sparkline>
              <xm:f>Sparklines!D94:H94</xm:f>
              <xm:sqref>I94</xm:sqref>
            </x14:sparkline>
            <x14:sparkline>
              <xm:f>Sparklines!D95:H95</xm:f>
              <xm:sqref>I95</xm:sqref>
            </x14:sparkline>
            <x14:sparkline>
              <xm:f>Sparklines!D96:H96</xm:f>
              <xm:sqref>I96</xm:sqref>
            </x14:sparkline>
            <x14:sparkline>
              <xm:f>Sparklines!D97:H97</xm:f>
              <xm:sqref>I97</xm:sqref>
            </x14:sparkline>
            <x14:sparkline>
              <xm:f>Sparklines!D98:H98</xm:f>
              <xm:sqref>I98</xm:sqref>
            </x14:sparkline>
            <x14:sparkline>
              <xm:f>Sparklines!D99:H99</xm:f>
              <xm:sqref>I99</xm:sqref>
            </x14:sparkline>
            <x14:sparkline>
              <xm:f>Sparklines!D100:H100</xm:f>
              <xm:sqref>I100</xm:sqref>
            </x14:sparkline>
            <x14:sparkline>
              <xm:f>Sparklines!D101:H101</xm:f>
              <xm:sqref>I101</xm:sqref>
            </x14:sparkline>
            <x14:sparkline>
              <xm:f>Sparklines!D102:H102</xm:f>
              <xm:sqref>I102</xm:sqref>
            </x14:sparkline>
          </x14:sparklines>
        </x14:sparklineGroup>
      </x14:sparklineGroup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02"/>
  <sheetViews>
    <sheetView zoomScaleNormal="100"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 min="10" max="10" width="12.59765625" bestFit="1" customWidth="1"/>
    <col min="13" max="13" width="12.59765625" bestFit="1" customWidth="1"/>
    <col min="18" max="114" width="15.5" customWidth="1"/>
    <col min="115" max="116" width="11.296875" customWidth="1"/>
    <col min="117" max="214" width="21.796875" bestFit="1" customWidth="1"/>
    <col min="215" max="215" width="26.8984375" bestFit="1" customWidth="1"/>
    <col min="216" max="216" width="22.5" bestFit="1" customWidth="1"/>
  </cols>
  <sheetData>
    <row r="1" spans="1:14" x14ac:dyDescent="0.3">
      <c r="A1" s="62" t="s">
        <v>3</v>
      </c>
      <c r="B1" s="63"/>
      <c r="C1" s="63"/>
      <c r="D1" s="63"/>
      <c r="E1" s="63"/>
      <c r="F1" s="63"/>
      <c r="G1" s="63"/>
      <c r="H1" s="63"/>
      <c r="I1" s="64"/>
      <c r="M1" s="10" t="s">
        <v>135</v>
      </c>
    </row>
    <row r="2" spans="1:14" ht="31.2" x14ac:dyDescent="0.3">
      <c r="A2" s="1" t="s">
        <v>4</v>
      </c>
      <c r="B2" s="1" t="s">
        <v>5</v>
      </c>
      <c r="C2" s="1" t="s">
        <v>6</v>
      </c>
      <c r="D2" s="1" t="s">
        <v>7</v>
      </c>
      <c r="E2" s="2" t="s">
        <v>8</v>
      </c>
      <c r="F2" s="2" t="s">
        <v>9</v>
      </c>
      <c r="G2" s="1" t="s">
        <v>10</v>
      </c>
      <c r="H2" s="2" t="s">
        <v>11</v>
      </c>
      <c r="I2" s="2" t="s">
        <v>12</v>
      </c>
      <c r="M2" s="11">
        <v>1</v>
      </c>
      <c r="N2" s="12" t="s">
        <v>350</v>
      </c>
    </row>
    <row r="3" spans="1:14" x14ac:dyDescent="0.3">
      <c r="A3" s="48">
        <v>1</v>
      </c>
      <c r="B3" s="4" t="s">
        <v>13</v>
      </c>
      <c r="C3" s="5" t="s">
        <v>14</v>
      </c>
      <c r="D3" s="6">
        <v>41600</v>
      </c>
      <c r="E3" s="7">
        <v>4163</v>
      </c>
      <c r="F3" s="8">
        <v>158074286</v>
      </c>
      <c r="G3" s="9">
        <v>41732</v>
      </c>
      <c r="H3" s="7">
        <v>4163</v>
      </c>
      <c r="I3" s="8">
        <v>424668047</v>
      </c>
      <c r="J3" s="49">
        <v>25568251</v>
      </c>
      <c r="K3" s="49">
        <v>892</v>
      </c>
      <c r="M3" s="11">
        <v>2</v>
      </c>
      <c r="N3" s="12" t="s">
        <v>351</v>
      </c>
    </row>
    <row r="4" spans="1:14" x14ac:dyDescent="0.3">
      <c r="A4" s="48">
        <v>2</v>
      </c>
      <c r="B4" s="4" t="s">
        <v>15</v>
      </c>
      <c r="C4" s="5" t="s">
        <v>16</v>
      </c>
      <c r="D4" s="6">
        <v>41397</v>
      </c>
      <c r="E4" s="7">
        <v>4253</v>
      </c>
      <c r="F4" s="8">
        <v>174144585</v>
      </c>
      <c r="G4" s="9">
        <v>41529</v>
      </c>
      <c r="H4" s="7">
        <v>4253</v>
      </c>
      <c r="I4" s="8">
        <v>409013994</v>
      </c>
      <c r="J4" s="49">
        <v>25568251</v>
      </c>
      <c r="K4" s="49">
        <v>892</v>
      </c>
      <c r="M4" s="11">
        <v>3</v>
      </c>
      <c r="N4" t="s">
        <v>352</v>
      </c>
    </row>
    <row r="5" spans="1:14" x14ac:dyDescent="0.3">
      <c r="A5" s="48">
        <v>3</v>
      </c>
      <c r="B5" s="4" t="s">
        <v>17</v>
      </c>
      <c r="C5" s="5" t="s">
        <v>16</v>
      </c>
      <c r="D5" s="6">
        <v>41600</v>
      </c>
      <c r="E5" s="7">
        <v>1</v>
      </c>
      <c r="F5" s="8">
        <v>243390</v>
      </c>
      <c r="G5" s="9">
        <v>41837</v>
      </c>
      <c r="H5" s="7">
        <v>3742</v>
      </c>
      <c r="I5" s="8">
        <v>400738009</v>
      </c>
      <c r="J5" s="49">
        <v>25568251</v>
      </c>
      <c r="K5" s="49">
        <v>892</v>
      </c>
      <c r="M5" s="11">
        <v>4</v>
      </c>
      <c r="N5" t="s">
        <v>354</v>
      </c>
    </row>
    <row r="6" spans="1:14" x14ac:dyDescent="0.3">
      <c r="A6" s="48">
        <v>4</v>
      </c>
      <c r="B6" s="4" t="s">
        <v>18</v>
      </c>
      <c r="C6" s="5" t="s">
        <v>19</v>
      </c>
      <c r="D6" s="6">
        <v>41458</v>
      </c>
      <c r="E6" s="7">
        <v>3997</v>
      </c>
      <c r="F6" s="8">
        <v>83517315</v>
      </c>
      <c r="G6" s="9">
        <v>41655</v>
      </c>
      <c r="H6" s="7">
        <v>4003</v>
      </c>
      <c r="I6" s="8">
        <v>368061265</v>
      </c>
      <c r="J6" s="49">
        <v>25568251</v>
      </c>
      <c r="K6" s="49">
        <v>892</v>
      </c>
      <c r="M6" s="11">
        <v>5</v>
      </c>
      <c r="N6" t="s">
        <v>355</v>
      </c>
    </row>
    <row r="7" spans="1:14" x14ac:dyDescent="0.3">
      <c r="A7" s="48">
        <v>5</v>
      </c>
      <c r="B7" s="4" t="s">
        <v>20</v>
      </c>
      <c r="C7" s="5" t="s">
        <v>21</v>
      </c>
      <c r="D7" s="6">
        <v>41439</v>
      </c>
      <c r="E7" s="7">
        <v>4207</v>
      </c>
      <c r="F7" s="8">
        <v>116619362</v>
      </c>
      <c r="G7" s="9">
        <v>41536</v>
      </c>
      <c r="H7" s="7">
        <v>4207</v>
      </c>
      <c r="I7" s="8">
        <v>291045518</v>
      </c>
      <c r="J7" s="49">
        <v>25568251</v>
      </c>
      <c r="K7" s="49">
        <v>892</v>
      </c>
      <c r="M7" s="11">
        <v>6</v>
      </c>
      <c r="N7" t="s">
        <v>356</v>
      </c>
    </row>
    <row r="8" spans="1:14" x14ac:dyDescent="0.3">
      <c r="A8" s="48">
        <v>6</v>
      </c>
      <c r="B8" s="4" t="s">
        <v>22</v>
      </c>
      <c r="C8" s="5" t="s">
        <v>21</v>
      </c>
      <c r="D8" s="6">
        <v>41551</v>
      </c>
      <c r="E8" s="7">
        <v>3575</v>
      </c>
      <c r="F8" s="8">
        <v>55785112</v>
      </c>
      <c r="G8" s="9">
        <v>41767</v>
      </c>
      <c r="H8" s="7">
        <v>3820</v>
      </c>
      <c r="I8" s="8">
        <v>274092705</v>
      </c>
      <c r="J8" s="49">
        <v>25568251</v>
      </c>
      <c r="K8" s="49">
        <v>892</v>
      </c>
      <c r="M8" s="11"/>
    </row>
    <row r="9" spans="1:14" x14ac:dyDescent="0.3">
      <c r="A9" s="48">
        <v>7</v>
      </c>
      <c r="B9" s="4" t="s">
        <v>23</v>
      </c>
      <c r="C9" s="5" t="s">
        <v>16</v>
      </c>
      <c r="D9" s="6">
        <v>41446</v>
      </c>
      <c r="E9" s="7">
        <v>4004</v>
      </c>
      <c r="F9" s="8">
        <v>82429469</v>
      </c>
      <c r="G9" s="9">
        <v>41627</v>
      </c>
      <c r="H9" s="7">
        <v>4004</v>
      </c>
      <c r="I9" s="8">
        <v>268492764</v>
      </c>
      <c r="J9" s="49">
        <v>25568251</v>
      </c>
      <c r="K9" s="49">
        <v>892</v>
      </c>
      <c r="M9" s="11"/>
    </row>
    <row r="10" spans="1:14" x14ac:dyDescent="0.3">
      <c r="A10" s="48">
        <v>8</v>
      </c>
      <c r="B10" s="4" t="s">
        <v>24</v>
      </c>
      <c r="C10" s="5" t="s">
        <v>21</v>
      </c>
      <c r="D10" s="6">
        <v>41621</v>
      </c>
      <c r="E10" s="7">
        <v>3903</v>
      </c>
      <c r="F10" s="8">
        <v>73645197</v>
      </c>
      <c r="G10" s="9">
        <v>41746</v>
      </c>
      <c r="H10" s="7">
        <v>3928</v>
      </c>
      <c r="I10" s="8">
        <v>258366855</v>
      </c>
      <c r="J10" s="49">
        <v>25568251</v>
      </c>
      <c r="K10" s="49">
        <v>892</v>
      </c>
      <c r="M10" s="11"/>
    </row>
    <row r="11" spans="1:14" x14ac:dyDescent="0.3">
      <c r="A11" s="48">
        <v>9</v>
      </c>
      <c r="B11" s="4" t="s">
        <v>25</v>
      </c>
      <c r="C11" s="5" t="s">
        <v>19</v>
      </c>
      <c r="D11" s="6">
        <v>41418</v>
      </c>
      <c r="E11" s="7">
        <v>3658</v>
      </c>
      <c r="F11" s="8">
        <v>97375245</v>
      </c>
      <c r="G11" s="9">
        <v>41522</v>
      </c>
      <c r="H11" s="7">
        <v>3771</v>
      </c>
      <c r="I11" s="8">
        <v>238679850</v>
      </c>
      <c r="J11" s="49">
        <v>25568251</v>
      </c>
      <c r="K11" s="49">
        <v>892</v>
      </c>
      <c r="M11" s="11"/>
    </row>
    <row r="12" spans="1:14" x14ac:dyDescent="0.3">
      <c r="A12" s="48">
        <v>10</v>
      </c>
      <c r="B12" s="4" t="s">
        <v>26</v>
      </c>
      <c r="C12" s="5" t="s">
        <v>16</v>
      </c>
      <c r="D12" s="6">
        <v>41341</v>
      </c>
      <c r="E12" s="7">
        <v>3912</v>
      </c>
      <c r="F12" s="8">
        <v>79110453</v>
      </c>
      <c r="G12" s="9">
        <v>41473</v>
      </c>
      <c r="H12" s="7">
        <v>3912</v>
      </c>
      <c r="I12" s="8">
        <v>234911825</v>
      </c>
      <c r="J12" s="49">
        <v>25568251</v>
      </c>
      <c r="K12" s="49">
        <v>892</v>
      </c>
    </row>
    <row r="13" spans="1:14" x14ac:dyDescent="0.3">
      <c r="A13" s="48">
        <v>11</v>
      </c>
      <c r="B13" s="4" t="s">
        <v>27</v>
      </c>
      <c r="C13" s="5" t="s">
        <v>28</v>
      </c>
      <c r="D13" s="6">
        <v>41410</v>
      </c>
      <c r="E13" s="7">
        <v>3868</v>
      </c>
      <c r="F13" s="8">
        <v>70165559</v>
      </c>
      <c r="G13" s="9">
        <v>41529</v>
      </c>
      <c r="H13" s="7">
        <v>3907</v>
      </c>
      <c r="I13" s="8">
        <v>228778661</v>
      </c>
      <c r="J13" s="49">
        <v>25568251</v>
      </c>
      <c r="K13" s="49">
        <v>892</v>
      </c>
    </row>
    <row r="14" spans="1:14" x14ac:dyDescent="0.3">
      <c r="A14" s="48">
        <v>12</v>
      </c>
      <c r="B14" s="4" t="s">
        <v>29</v>
      </c>
      <c r="C14" s="5" t="s">
        <v>16</v>
      </c>
      <c r="D14" s="6">
        <v>41586</v>
      </c>
      <c r="E14" s="7">
        <v>3841</v>
      </c>
      <c r="F14" s="8">
        <v>85737841</v>
      </c>
      <c r="G14" s="9">
        <v>41746</v>
      </c>
      <c r="H14" s="7">
        <v>3841</v>
      </c>
      <c r="I14" s="8">
        <v>206362140</v>
      </c>
      <c r="J14" s="49">
        <v>25568251</v>
      </c>
      <c r="K14" s="49">
        <v>892</v>
      </c>
    </row>
    <row r="15" spans="1:14" x14ac:dyDescent="0.3">
      <c r="A15" s="48">
        <v>13</v>
      </c>
      <c r="B15" s="4" t="s">
        <v>30</v>
      </c>
      <c r="C15" s="5" t="s">
        <v>28</v>
      </c>
      <c r="D15" s="6">
        <v>41446</v>
      </c>
      <c r="E15" s="7">
        <v>3607</v>
      </c>
      <c r="F15" s="8">
        <v>66411834</v>
      </c>
      <c r="G15" s="9">
        <v>41557</v>
      </c>
      <c r="H15" s="7">
        <v>3607</v>
      </c>
      <c r="I15" s="8">
        <v>202359711</v>
      </c>
      <c r="J15" s="49">
        <v>25568251</v>
      </c>
      <c r="K15" s="49">
        <v>892</v>
      </c>
    </row>
    <row r="16" spans="1:14" x14ac:dyDescent="0.3">
      <c r="A16" s="48">
        <v>14</v>
      </c>
      <c r="B16" s="4" t="s">
        <v>31</v>
      </c>
      <c r="C16" s="5" t="s">
        <v>32</v>
      </c>
      <c r="D16" s="6">
        <v>41355</v>
      </c>
      <c r="E16" s="7">
        <v>4046</v>
      </c>
      <c r="F16" s="8">
        <v>43639736</v>
      </c>
      <c r="G16" s="9">
        <v>41536</v>
      </c>
      <c r="H16" s="7">
        <v>4065</v>
      </c>
      <c r="I16" s="8">
        <v>187168425</v>
      </c>
      <c r="J16" s="49">
        <v>25568251</v>
      </c>
      <c r="K16" s="49">
        <v>892</v>
      </c>
    </row>
    <row r="17" spans="1:11" x14ac:dyDescent="0.3">
      <c r="A17" s="48">
        <v>15</v>
      </c>
      <c r="B17" s="4" t="s">
        <v>33</v>
      </c>
      <c r="C17" s="5" t="s">
        <v>32</v>
      </c>
      <c r="D17" s="6">
        <v>41453</v>
      </c>
      <c r="E17" s="7">
        <v>3181</v>
      </c>
      <c r="F17" s="8">
        <v>39115043</v>
      </c>
      <c r="G17" s="9">
        <v>41620</v>
      </c>
      <c r="H17" s="7">
        <v>3184</v>
      </c>
      <c r="I17" s="8">
        <v>159582188</v>
      </c>
      <c r="J17" s="49">
        <v>25568251</v>
      </c>
      <c r="K17" s="49">
        <v>892</v>
      </c>
    </row>
    <row r="18" spans="1:11" x14ac:dyDescent="0.3">
      <c r="A18" s="48">
        <v>16</v>
      </c>
      <c r="B18" s="4" t="s">
        <v>34</v>
      </c>
      <c r="C18" s="5" t="s">
        <v>21</v>
      </c>
      <c r="D18" s="6">
        <v>41493</v>
      </c>
      <c r="E18" s="7">
        <v>3260</v>
      </c>
      <c r="F18" s="8">
        <v>26419396</v>
      </c>
      <c r="G18" s="9">
        <v>41613</v>
      </c>
      <c r="H18" s="7">
        <v>3445</v>
      </c>
      <c r="I18" s="8">
        <v>150394119</v>
      </c>
      <c r="J18" s="49">
        <v>25568251</v>
      </c>
      <c r="K18" s="49">
        <v>892</v>
      </c>
    </row>
    <row r="19" spans="1:11" x14ac:dyDescent="0.3">
      <c r="A19" s="48">
        <v>17</v>
      </c>
      <c r="B19" s="4" t="s">
        <v>35</v>
      </c>
      <c r="C19" s="5" t="s">
        <v>36</v>
      </c>
      <c r="D19" s="6">
        <v>41621</v>
      </c>
      <c r="E19" s="7">
        <v>6</v>
      </c>
      <c r="F19" s="8">
        <v>740455</v>
      </c>
      <c r="G19" s="9">
        <v>41735</v>
      </c>
      <c r="H19" s="7">
        <v>2629</v>
      </c>
      <c r="I19" s="8">
        <v>150117807</v>
      </c>
      <c r="J19" s="49">
        <v>25568251</v>
      </c>
      <c r="K19" s="49">
        <v>892</v>
      </c>
    </row>
    <row r="20" spans="1:11" x14ac:dyDescent="0.3">
      <c r="A20" s="48">
        <v>18</v>
      </c>
      <c r="B20" s="4" t="s">
        <v>37</v>
      </c>
      <c r="C20" s="5" t="s">
        <v>21</v>
      </c>
      <c r="D20" s="6">
        <v>41404</v>
      </c>
      <c r="E20" s="7">
        <v>3535</v>
      </c>
      <c r="F20" s="8">
        <v>50085185</v>
      </c>
      <c r="G20" s="9">
        <v>41508</v>
      </c>
      <c r="H20" s="7">
        <v>3550</v>
      </c>
      <c r="I20" s="8">
        <v>144840419</v>
      </c>
      <c r="J20" s="49">
        <v>25568251</v>
      </c>
      <c r="K20" s="49">
        <v>892</v>
      </c>
    </row>
    <row r="21" spans="1:11" x14ac:dyDescent="0.3">
      <c r="A21" s="48">
        <v>19</v>
      </c>
      <c r="B21" s="4" t="s">
        <v>38</v>
      </c>
      <c r="C21" s="5" t="s">
        <v>21</v>
      </c>
      <c r="D21" s="6">
        <v>41474</v>
      </c>
      <c r="E21" s="7">
        <v>2903</v>
      </c>
      <c r="F21" s="8">
        <v>41855326</v>
      </c>
      <c r="G21" s="9">
        <v>41578</v>
      </c>
      <c r="H21" s="7">
        <v>3115</v>
      </c>
      <c r="I21" s="8">
        <v>137400141</v>
      </c>
      <c r="J21" s="49">
        <v>25568251</v>
      </c>
      <c r="K21" s="49">
        <v>892</v>
      </c>
    </row>
    <row r="22" spans="1:11" x14ac:dyDescent="0.3">
      <c r="A22" s="48">
        <v>20</v>
      </c>
      <c r="B22" s="4" t="s">
        <v>39</v>
      </c>
      <c r="C22" s="5" t="s">
        <v>19</v>
      </c>
      <c r="D22" s="6">
        <v>41313</v>
      </c>
      <c r="E22" s="7">
        <v>3141</v>
      </c>
      <c r="F22" s="8">
        <v>34551025</v>
      </c>
      <c r="G22" s="9">
        <v>41431</v>
      </c>
      <c r="H22" s="7">
        <v>3230</v>
      </c>
      <c r="I22" s="8">
        <v>134506920</v>
      </c>
      <c r="J22" s="49">
        <v>25568251</v>
      </c>
      <c r="K22" s="49">
        <v>892</v>
      </c>
    </row>
    <row r="23" spans="1:11" x14ac:dyDescent="0.3">
      <c r="A23" s="48">
        <v>21</v>
      </c>
      <c r="B23" s="4" t="s">
        <v>40</v>
      </c>
      <c r="C23" s="5" t="s">
        <v>36</v>
      </c>
      <c r="D23" s="6">
        <v>41467</v>
      </c>
      <c r="E23" s="7">
        <v>3491</v>
      </c>
      <c r="F23" s="8">
        <v>41508572</v>
      </c>
      <c r="G23" s="9">
        <v>41595</v>
      </c>
      <c r="H23" s="7">
        <v>3491</v>
      </c>
      <c r="I23" s="8">
        <v>133668525</v>
      </c>
      <c r="J23" s="49">
        <v>25568251</v>
      </c>
      <c r="K23" s="49">
        <v>892</v>
      </c>
    </row>
    <row r="24" spans="1:11" x14ac:dyDescent="0.3">
      <c r="A24" s="48">
        <v>22</v>
      </c>
      <c r="B24" s="4" t="s">
        <v>41</v>
      </c>
      <c r="C24" s="5" t="s">
        <v>32</v>
      </c>
      <c r="D24" s="6">
        <v>41481</v>
      </c>
      <c r="E24" s="7">
        <v>3924</v>
      </c>
      <c r="F24" s="8">
        <v>53113752</v>
      </c>
      <c r="G24" s="9">
        <v>41613</v>
      </c>
      <c r="H24" s="7">
        <v>3924</v>
      </c>
      <c r="I24" s="8">
        <v>132556852</v>
      </c>
      <c r="J24" s="49">
        <v>25568251</v>
      </c>
      <c r="K24" s="49">
        <v>892</v>
      </c>
    </row>
    <row r="25" spans="1:11" x14ac:dyDescent="0.3">
      <c r="A25" s="48">
        <v>23</v>
      </c>
      <c r="B25" s="4" t="s">
        <v>42</v>
      </c>
      <c r="C25" s="5" t="s">
        <v>28</v>
      </c>
      <c r="D25" s="6">
        <v>41626</v>
      </c>
      <c r="E25" s="7">
        <v>3507</v>
      </c>
      <c r="F25" s="8">
        <v>26232425</v>
      </c>
      <c r="G25" s="9">
        <v>41690</v>
      </c>
      <c r="H25" s="7">
        <v>3507</v>
      </c>
      <c r="I25" s="8">
        <v>125168368</v>
      </c>
      <c r="J25" s="49">
        <v>25568251</v>
      </c>
      <c r="K25" s="49">
        <v>892</v>
      </c>
    </row>
    <row r="26" spans="1:11" x14ac:dyDescent="0.3">
      <c r="A26" s="48">
        <v>24</v>
      </c>
      <c r="B26" s="4" t="s">
        <v>43</v>
      </c>
      <c r="C26" s="5" t="s">
        <v>19</v>
      </c>
      <c r="D26" s="6">
        <v>41633</v>
      </c>
      <c r="E26" s="7">
        <v>2</v>
      </c>
      <c r="F26" s="8">
        <v>90872</v>
      </c>
      <c r="G26" s="9">
        <v>41739</v>
      </c>
      <c r="H26" s="7">
        <v>3285</v>
      </c>
      <c r="I26" s="8">
        <v>125095601</v>
      </c>
      <c r="J26" s="49">
        <v>25568251</v>
      </c>
      <c r="K26" s="49">
        <v>892</v>
      </c>
    </row>
    <row r="27" spans="1:11" x14ac:dyDescent="0.3">
      <c r="A27" s="48">
        <v>25</v>
      </c>
      <c r="B27" s="4" t="s">
        <v>44</v>
      </c>
      <c r="C27" s="5" t="s">
        <v>28</v>
      </c>
      <c r="D27" s="6">
        <v>41361</v>
      </c>
      <c r="E27" s="7">
        <v>3719</v>
      </c>
      <c r="F27" s="8">
        <v>40501814</v>
      </c>
      <c r="G27" s="9">
        <v>41473</v>
      </c>
      <c r="H27" s="7">
        <v>3734</v>
      </c>
      <c r="I27" s="8">
        <v>122523060</v>
      </c>
      <c r="J27" s="49">
        <v>25568251</v>
      </c>
      <c r="K27" s="49">
        <v>892</v>
      </c>
    </row>
    <row r="28" spans="1:11" x14ac:dyDescent="0.3">
      <c r="A28" s="48">
        <v>26</v>
      </c>
      <c r="B28" s="4" t="s">
        <v>45</v>
      </c>
      <c r="C28" s="5" t="s">
        <v>36</v>
      </c>
      <c r="D28" s="6">
        <v>41544</v>
      </c>
      <c r="E28" s="7">
        <v>4001</v>
      </c>
      <c r="F28" s="8">
        <v>34017930</v>
      </c>
      <c r="G28" s="9">
        <v>41714</v>
      </c>
      <c r="H28" s="7">
        <v>4001</v>
      </c>
      <c r="I28" s="8">
        <v>119793567</v>
      </c>
      <c r="J28" s="49">
        <v>25568251</v>
      </c>
      <c r="K28" s="49">
        <v>892</v>
      </c>
    </row>
    <row r="29" spans="1:11" x14ac:dyDescent="0.3">
      <c r="A29" s="48">
        <v>27</v>
      </c>
      <c r="B29" s="4" t="s">
        <v>46</v>
      </c>
      <c r="C29" s="5" t="s">
        <v>47</v>
      </c>
      <c r="D29" s="6">
        <v>41425</v>
      </c>
      <c r="E29" s="7">
        <v>2925</v>
      </c>
      <c r="F29" s="8">
        <v>29350389</v>
      </c>
      <c r="G29" s="9">
        <v>41543</v>
      </c>
      <c r="H29" s="7">
        <v>3082</v>
      </c>
      <c r="I29" s="8">
        <v>117723989</v>
      </c>
      <c r="J29" s="49">
        <v>25568251</v>
      </c>
      <c r="K29" s="49">
        <v>892</v>
      </c>
    </row>
    <row r="30" spans="1:11" x14ac:dyDescent="0.3">
      <c r="A30" s="48">
        <v>28</v>
      </c>
      <c r="B30" s="4" t="s">
        <v>48</v>
      </c>
      <c r="C30" s="5" t="s">
        <v>28</v>
      </c>
      <c r="D30" s="6">
        <v>41633</v>
      </c>
      <c r="E30" s="7">
        <v>2537</v>
      </c>
      <c r="F30" s="8">
        <v>18361578</v>
      </c>
      <c r="G30" s="9">
        <v>41732</v>
      </c>
      <c r="H30" s="7">
        <v>2557</v>
      </c>
      <c r="I30" s="8">
        <v>116900694</v>
      </c>
      <c r="J30" s="49">
        <v>25568251</v>
      </c>
      <c r="K30" s="49">
        <v>892</v>
      </c>
    </row>
    <row r="31" spans="1:11" x14ac:dyDescent="0.3">
      <c r="A31" s="48">
        <v>29</v>
      </c>
      <c r="B31" s="4" t="s">
        <v>49</v>
      </c>
      <c r="C31" s="5" t="s">
        <v>50</v>
      </c>
      <c r="D31" s="6">
        <v>41502</v>
      </c>
      <c r="E31" s="7">
        <v>2933</v>
      </c>
      <c r="F31" s="8">
        <v>24637312</v>
      </c>
      <c r="G31" s="9">
        <v>41683</v>
      </c>
      <c r="H31" s="7">
        <v>3330</v>
      </c>
      <c r="I31" s="8">
        <v>116632095</v>
      </c>
      <c r="J31" s="49">
        <v>25568251</v>
      </c>
      <c r="K31" s="49">
        <v>892</v>
      </c>
    </row>
    <row r="32" spans="1:11" x14ac:dyDescent="0.3">
      <c r="A32" s="48">
        <v>30</v>
      </c>
      <c r="B32" s="4" t="s">
        <v>51</v>
      </c>
      <c r="C32" s="5" t="s">
        <v>21</v>
      </c>
      <c r="D32" s="6">
        <v>41417</v>
      </c>
      <c r="E32" s="7">
        <v>3555</v>
      </c>
      <c r="F32" s="8">
        <v>41671198</v>
      </c>
      <c r="G32" s="9">
        <v>41501</v>
      </c>
      <c r="H32" s="7">
        <v>3565</v>
      </c>
      <c r="I32" s="8">
        <v>112200072</v>
      </c>
      <c r="J32" s="49">
        <v>25568251</v>
      </c>
      <c r="K32" s="49">
        <v>892</v>
      </c>
    </row>
    <row r="33" spans="1:15" x14ac:dyDescent="0.3">
      <c r="A33" s="48">
        <v>31</v>
      </c>
      <c r="B33" s="4" t="s">
        <v>52</v>
      </c>
      <c r="C33" s="5" t="s">
        <v>32</v>
      </c>
      <c r="D33" s="6">
        <v>41418</v>
      </c>
      <c r="E33" s="7">
        <v>3882</v>
      </c>
      <c r="F33" s="8">
        <v>33531068</v>
      </c>
      <c r="G33" s="9">
        <v>41536</v>
      </c>
      <c r="H33" s="7">
        <v>3894</v>
      </c>
      <c r="I33" s="8">
        <v>107518682</v>
      </c>
      <c r="J33" s="49">
        <v>25568251</v>
      </c>
      <c r="K33" s="49">
        <v>892</v>
      </c>
      <c r="M33" s="16"/>
      <c r="O33" s="47"/>
    </row>
    <row r="34" spans="1:15" x14ac:dyDescent="0.3">
      <c r="A34" s="48">
        <v>32</v>
      </c>
      <c r="B34" s="4" t="s">
        <v>53</v>
      </c>
      <c r="C34" s="5" t="s">
        <v>36</v>
      </c>
      <c r="D34" s="6">
        <v>41558</v>
      </c>
      <c r="E34" s="7">
        <v>3020</v>
      </c>
      <c r="F34" s="8">
        <v>25718314</v>
      </c>
      <c r="G34" s="9">
        <v>41700</v>
      </c>
      <c r="H34" s="7">
        <v>3143</v>
      </c>
      <c r="I34" s="8">
        <v>107100855</v>
      </c>
      <c r="J34" s="49">
        <v>25568251</v>
      </c>
      <c r="K34" s="49">
        <v>892</v>
      </c>
      <c r="M34" s="16"/>
      <c r="O34" s="47"/>
    </row>
    <row r="35" spans="1:15" x14ac:dyDescent="0.3">
      <c r="A35" s="48">
        <v>33</v>
      </c>
      <c r="B35" s="4" t="s">
        <v>54</v>
      </c>
      <c r="C35" s="5" t="s">
        <v>28</v>
      </c>
      <c r="D35" s="6">
        <v>41572</v>
      </c>
      <c r="E35" s="7">
        <v>3336</v>
      </c>
      <c r="F35" s="8">
        <v>32055177</v>
      </c>
      <c r="G35" s="9">
        <v>41662</v>
      </c>
      <c r="H35" s="7">
        <v>3345</v>
      </c>
      <c r="I35" s="8">
        <v>102003019</v>
      </c>
      <c r="J35" s="49">
        <v>25568251</v>
      </c>
      <c r="K35" s="49">
        <v>892</v>
      </c>
    </row>
    <row r="36" spans="1:15" x14ac:dyDescent="0.3">
      <c r="A36" s="48">
        <v>34</v>
      </c>
      <c r="B36" s="4" t="s">
        <v>55</v>
      </c>
      <c r="C36" s="5" t="s">
        <v>21</v>
      </c>
      <c r="D36" s="6">
        <v>41467</v>
      </c>
      <c r="E36" s="7">
        <v>3275</v>
      </c>
      <c r="F36" s="8">
        <v>37285325</v>
      </c>
      <c r="G36" s="9">
        <v>41564</v>
      </c>
      <c r="H36" s="7">
        <v>3285</v>
      </c>
      <c r="I36" s="8">
        <v>101802906</v>
      </c>
      <c r="J36" s="49">
        <v>25568251</v>
      </c>
      <c r="K36" s="49">
        <v>892</v>
      </c>
    </row>
    <row r="37" spans="1:15" x14ac:dyDescent="0.3">
      <c r="A37" s="48">
        <v>35</v>
      </c>
      <c r="B37" s="4" t="s">
        <v>56</v>
      </c>
      <c r="C37" s="5" t="s">
        <v>36</v>
      </c>
      <c r="D37" s="6">
        <v>41437</v>
      </c>
      <c r="E37" s="7">
        <v>3055</v>
      </c>
      <c r="F37" s="8">
        <v>20719162</v>
      </c>
      <c r="G37" s="9">
        <v>41553</v>
      </c>
      <c r="H37" s="7">
        <v>3055</v>
      </c>
      <c r="I37" s="8">
        <v>101470202</v>
      </c>
      <c r="J37" s="49">
        <v>25568251</v>
      </c>
      <c r="K37" s="49">
        <v>892</v>
      </c>
    </row>
    <row r="38" spans="1:15" x14ac:dyDescent="0.3">
      <c r="A38" s="48">
        <v>36</v>
      </c>
      <c r="B38" s="4" t="s">
        <v>57</v>
      </c>
      <c r="C38" s="5" t="s">
        <v>58</v>
      </c>
      <c r="D38" s="6">
        <v>41355</v>
      </c>
      <c r="E38" s="7">
        <v>3098</v>
      </c>
      <c r="F38" s="8">
        <v>30373794</v>
      </c>
      <c r="G38" s="9">
        <v>41466</v>
      </c>
      <c r="H38" s="7">
        <v>3106</v>
      </c>
      <c r="I38" s="8">
        <v>98925640</v>
      </c>
      <c r="J38" s="49">
        <v>25568251</v>
      </c>
      <c r="K38" s="49">
        <v>892</v>
      </c>
    </row>
    <row r="39" spans="1:15" x14ac:dyDescent="0.3">
      <c r="A39" s="48">
        <v>37</v>
      </c>
      <c r="B39" s="4">
        <v>42</v>
      </c>
      <c r="C39" s="5" t="s">
        <v>21</v>
      </c>
      <c r="D39" s="6">
        <v>41376</v>
      </c>
      <c r="E39" s="7">
        <v>3003</v>
      </c>
      <c r="F39" s="8">
        <v>27487144</v>
      </c>
      <c r="G39" s="9">
        <v>41480</v>
      </c>
      <c r="H39" s="7">
        <v>3405</v>
      </c>
      <c r="I39" s="8">
        <v>95020213</v>
      </c>
      <c r="J39" s="49">
        <v>25568251</v>
      </c>
      <c r="K39" s="49">
        <v>892</v>
      </c>
    </row>
    <row r="40" spans="1:15" x14ac:dyDescent="0.3">
      <c r="A40" s="48">
        <v>38</v>
      </c>
      <c r="B40" s="4" t="s">
        <v>59</v>
      </c>
      <c r="C40" s="5" t="s">
        <v>60</v>
      </c>
      <c r="D40" s="6">
        <v>41495</v>
      </c>
      <c r="E40" s="7">
        <v>3284</v>
      </c>
      <c r="F40" s="8">
        <v>29807393</v>
      </c>
      <c r="G40" s="9">
        <v>41602</v>
      </c>
      <c r="H40" s="7">
        <v>3284</v>
      </c>
      <c r="I40" s="8">
        <v>93050117</v>
      </c>
      <c r="J40" s="49">
        <v>25568251</v>
      </c>
      <c r="K40" s="49">
        <v>892</v>
      </c>
    </row>
    <row r="41" spans="1:15" x14ac:dyDescent="0.3">
      <c r="A41" s="48">
        <v>39</v>
      </c>
      <c r="B41" s="4" t="s">
        <v>61</v>
      </c>
      <c r="C41" s="5" t="s">
        <v>16</v>
      </c>
      <c r="D41" s="6">
        <v>41495</v>
      </c>
      <c r="E41" s="7">
        <v>3702</v>
      </c>
      <c r="F41" s="8">
        <v>22232291</v>
      </c>
      <c r="G41" s="9">
        <v>41627</v>
      </c>
      <c r="H41" s="7">
        <v>3716</v>
      </c>
      <c r="I41" s="8">
        <v>90288712</v>
      </c>
      <c r="J41" s="49">
        <v>25568251</v>
      </c>
      <c r="K41" s="49">
        <v>892</v>
      </c>
    </row>
    <row r="42" spans="1:15" x14ac:dyDescent="0.3">
      <c r="A42" s="48">
        <v>40</v>
      </c>
      <c r="B42" s="4" t="s">
        <v>62</v>
      </c>
      <c r="C42" s="5" t="s">
        <v>16</v>
      </c>
      <c r="D42" s="6">
        <v>41458</v>
      </c>
      <c r="E42" s="7">
        <v>3904</v>
      </c>
      <c r="F42" s="8">
        <v>29210849</v>
      </c>
      <c r="G42" s="9">
        <v>41557</v>
      </c>
      <c r="H42" s="7">
        <v>3904</v>
      </c>
      <c r="I42" s="8">
        <v>89302115</v>
      </c>
      <c r="J42" s="49">
        <v>25568251</v>
      </c>
      <c r="K42" s="49">
        <v>892</v>
      </c>
    </row>
    <row r="43" spans="1:15" x14ac:dyDescent="0.3">
      <c r="A43" s="48">
        <v>41</v>
      </c>
      <c r="B43" s="4" t="s">
        <v>63</v>
      </c>
      <c r="C43" s="5" t="s">
        <v>19</v>
      </c>
      <c r="D43" s="6">
        <v>41383</v>
      </c>
      <c r="E43" s="7">
        <v>3783</v>
      </c>
      <c r="F43" s="8">
        <v>37054485</v>
      </c>
      <c r="G43" s="9">
        <v>41452</v>
      </c>
      <c r="H43" s="7">
        <v>3792</v>
      </c>
      <c r="I43" s="8">
        <v>89107235</v>
      </c>
      <c r="J43" s="49">
        <v>25568251</v>
      </c>
      <c r="K43" s="49">
        <v>892</v>
      </c>
    </row>
    <row r="44" spans="1:15" x14ac:dyDescent="0.3">
      <c r="A44" s="48">
        <v>42</v>
      </c>
      <c r="B44" s="4" t="s">
        <v>64</v>
      </c>
      <c r="C44" s="5" t="s">
        <v>58</v>
      </c>
      <c r="D44" s="6">
        <v>41530</v>
      </c>
      <c r="E44" s="7">
        <v>3049</v>
      </c>
      <c r="F44" s="8">
        <v>40272103</v>
      </c>
      <c r="G44" s="9">
        <v>41627</v>
      </c>
      <c r="H44" s="7">
        <v>3155</v>
      </c>
      <c r="I44" s="8">
        <v>83586447</v>
      </c>
      <c r="J44" s="49">
        <v>25568251</v>
      </c>
      <c r="K44" s="49">
        <v>892</v>
      </c>
    </row>
    <row r="45" spans="1:15" x14ac:dyDescent="0.3">
      <c r="A45" s="48">
        <v>43</v>
      </c>
      <c r="B45" s="4" t="s">
        <v>65</v>
      </c>
      <c r="C45" s="5" t="s">
        <v>16</v>
      </c>
      <c r="D45" s="6">
        <v>41621</v>
      </c>
      <c r="E45" s="7">
        <v>15</v>
      </c>
      <c r="F45" s="8">
        <v>413373</v>
      </c>
      <c r="G45" s="9">
        <v>41746</v>
      </c>
      <c r="H45" s="7">
        <v>2671</v>
      </c>
      <c r="I45" s="8">
        <v>83301580</v>
      </c>
      <c r="J45" s="49">
        <v>25568251</v>
      </c>
      <c r="K45" s="49">
        <v>892</v>
      </c>
    </row>
    <row r="46" spans="1:15" x14ac:dyDescent="0.3">
      <c r="A46" s="48">
        <v>44</v>
      </c>
      <c r="B46" s="4" t="s">
        <v>66</v>
      </c>
      <c r="C46" s="5" t="s">
        <v>32</v>
      </c>
      <c r="D46" s="6">
        <v>41472</v>
      </c>
      <c r="E46" s="7">
        <v>3806</v>
      </c>
      <c r="F46" s="8">
        <v>21312625</v>
      </c>
      <c r="G46" s="9">
        <v>41620</v>
      </c>
      <c r="H46" s="7">
        <v>3809</v>
      </c>
      <c r="I46" s="8">
        <v>83028128</v>
      </c>
      <c r="J46" s="49">
        <v>25568251</v>
      </c>
      <c r="K46" s="49">
        <v>892</v>
      </c>
    </row>
    <row r="47" spans="1:15" x14ac:dyDescent="0.3">
      <c r="A47" s="48">
        <v>45</v>
      </c>
      <c r="B47" s="4" t="s">
        <v>67</v>
      </c>
      <c r="C47" s="5" t="s">
        <v>19</v>
      </c>
      <c r="D47" s="6">
        <v>41488</v>
      </c>
      <c r="E47" s="7">
        <v>3025</v>
      </c>
      <c r="F47" s="8">
        <v>27059130</v>
      </c>
      <c r="G47" s="9">
        <v>41571</v>
      </c>
      <c r="H47" s="7">
        <v>3028</v>
      </c>
      <c r="I47" s="8">
        <v>75612460</v>
      </c>
      <c r="J47" s="49">
        <v>25568251</v>
      </c>
      <c r="K47" s="49">
        <v>892</v>
      </c>
    </row>
    <row r="48" spans="1:15" x14ac:dyDescent="0.3">
      <c r="A48" s="48">
        <v>46</v>
      </c>
      <c r="B48" s="4" t="s">
        <v>68</v>
      </c>
      <c r="C48" s="5" t="s">
        <v>36</v>
      </c>
      <c r="D48" s="6">
        <v>41453</v>
      </c>
      <c r="E48" s="7">
        <v>3222</v>
      </c>
      <c r="F48" s="8">
        <v>24852258</v>
      </c>
      <c r="G48" s="9">
        <v>41532</v>
      </c>
      <c r="H48" s="7">
        <v>3222</v>
      </c>
      <c r="I48" s="8">
        <v>73103784</v>
      </c>
      <c r="J48" s="49">
        <v>25568251</v>
      </c>
      <c r="K48" s="49">
        <v>892</v>
      </c>
    </row>
    <row r="49" spans="1:11" x14ac:dyDescent="0.3">
      <c r="A49" s="48">
        <v>47</v>
      </c>
      <c r="B49" s="4" t="s">
        <v>69</v>
      </c>
      <c r="C49" s="5" t="s">
        <v>19</v>
      </c>
      <c r="D49" s="6">
        <v>41292</v>
      </c>
      <c r="E49" s="7">
        <v>2647</v>
      </c>
      <c r="F49" s="8">
        <v>28402310</v>
      </c>
      <c r="G49" s="9">
        <v>41368</v>
      </c>
      <c r="H49" s="7">
        <v>2781</v>
      </c>
      <c r="I49" s="8">
        <v>71628180</v>
      </c>
      <c r="J49" s="49">
        <v>25568251</v>
      </c>
      <c r="K49" s="49">
        <v>892</v>
      </c>
    </row>
    <row r="50" spans="1:11" x14ac:dyDescent="0.3">
      <c r="A50" s="48">
        <v>48</v>
      </c>
      <c r="B50" s="4" t="s">
        <v>70</v>
      </c>
      <c r="C50" s="5" t="s">
        <v>71</v>
      </c>
      <c r="D50" s="6">
        <v>41319</v>
      </c>
      <c r="E50" s="7">
        <v>3223</v>
      </c>
      <c r="F50" s="8">
        <v>21401594</v>
      </c>
      <c r="G50" s="9">
        <v>41424</v>
      </c>
      <c r="H50" s="7">
        <v>3223</v>
      </c>
      <c r="I50" s="8">
        <v>71349120</v>
      </c>
      <c r="J50" s="49">
        <v>25568251</v>
      </c>
      <c r="K50" s="49">
        <v>892</v>
      </c>
    </row>
    <row r="51" spans="1:11" x14ac:dyDescent="0.3">
      <c r="A51" s="48">
        <v>49</v>
      </c>
      <c r="B51" s="4" t="s">
        <v>72</v>
      </c>
      <c r="C51" s="5" t="s">
        <v>36</v>
      </c>
      <c r="D51" s="6">
        <v>41486</v>
      </c>
      <c r="E51" s="7">
        <v>3866</v>
      </c>
      <c r="F51" s="8">
        <v>17548389</v>
      </c>
      <c r="G51" s="9">
        <v>41595</v>
      </c>
      <c r="H51" s="7">
        <v>3867</v>
      </c>
      <c r="I51" s="8">
        <v>71017784</v>
      </c>
      <c r="J51" s="49">
        <v>25568251</v>
      </c>
      <c r="K51" s="49">
        <v>892</v>
      </c>
    </row>
    <row r="52" spans="1:11" x14ac:dyDescent="0.3">
      <c r="A52" s="48">
        <v>50</v>
      </c>
      <c r="B52" s="4" t="s">
        <v>73</v>
      </c>
      <c r="C52" s="5" t="s">
        <v>19</v>
      </c>
      <c r="D52" s="6">
        <v>41593</v>
      </c>
      <c r="E52" s="7">
        <v>2024</v>
      </c>
      <c r="F52" s="8">
        <v>30107555</v>
      </c>
      <c r="G52" s="9">
        <v>41648</v>
      </c>
      <c r="H52" s="7">
        <v>2041</v>
      </c>
      <c r="I52" s="8">
        <v>70525195</v>
      </c>
      <c r="J52" s="49">
        <v>25568251</v>
      </c>
      <c r="K52" s="49">
        <v>892</v>
      </c>
    </row>
    <row r="53" spans="1:11" x14ac:dyDescent="0.3">
      <c r="A53" s="48">
        <v>51</v>
      </c>
      <c r="B53" s="4" t="s">
        <v>74</v>
      </c>
      <c r="C53" s="5" t="s">
        <v>32</v>
      </c>
      <c r="D53" s="6">
        <v>41493</v>
      </c>
      <c r="E53" s="7">
        <v>3031</v>
      </c>
      <c r="F53" s="8">
        <v>14401054</v>
      </c>
      <c r="G53" s="9">
        <v>41669</v>
      </c>
      <c r="H53" s="7">
        <v>3080</v>
      </c>
      <c r="I53" s="8">
        <v>68559554</v>
      </c>
      <c r="J53" s="49">
        <v>25568251</v>
      </c>
      <c r="K53" s="49">
        <v>892</v>
      </c>
    </row>
    <row r="54" spans="1:11" x14ac:dyDescent="0.3">
      <c r="A54" s="48">
        <v>52</v>
      </c>
      <c r="B54" s="4" t="s">
        <v>75</v>
      </c>
      <c r="C54" s="5" t="s">
        <v>32</v>
      </c>
      <c r="D54" s="6">
        <v>41319</v>
      </c>
      <c r="E54" s="7">
        <v>3553</v>
      </c>
      <c r="F54" s="8">
        <v>24834845</v>
      </c>
      <c r="G54" s="9">
        <v>41417</v>
      </c>
      <c r="H54" s="7">
        <v>3555</v>
      </c>
      <c r="I54" s="8">
        <v>67349198</v>
      </c>
      <c r="J54" s="49">
        <v>25568251</v>
      </c>
      <c r="K54" s="49">
        <v>892</v>
      </c>
    </row>
    <row r="55" spans="1:11" x14ac:dyDescent="0.3">
      <c r="A55" s="48">
        <v>53</v>
      </c>
      <c r="B55" s="4" t="s">
        <v>76</v>
      </c>
      <c r="C55" s="5" t="s">
        <v>47</v>
      </c>
      <c r="D55" s="6">
        <v>41306</v>
      </c>
      <c r="E55" s="7">
        <v>3009</v>
      </c>
      <c r="F55" s="8">
        <v>20353967</v>
      </c>
      <c r="G55" s="9">
        <v>41403</v>
      </c>
      <c r="H55" s="7">
        <v>3009</v>
      </c>
      <c r="I55" s="8">
        <v>66380662</v>
      </c>
      <c r="J55" s="49">
        <v>25568251</v>
      </c>
      <c r="K55" s="49">
        <v>892</v>
      </c>
    </row>
    <row r="56" spans="1:11" x14ac:dyDescent="0.3">
      <c r="A56" s="48">
        <v>54</v>
      </c>
      <c r="B56" s="4" t="s">
        <v>77</v>
      </c>
      <c r="C56" s="5" t="s">
        <v>78</v>
      </c>
      <c r="D56" s="6">
        <v>41334</v>
      </c>
      <c r="E56" s="7">
        <v>3525</v>
      </c>
      <c r="F56" s="8">
        <v>27202226</v>
      </c>
      <c r="G56" s="9">
        <v>41438</v>
      </c>
      <c r="H56" s="7">
        <v>3525</v>
      </c>
      <c r="I56" s="8">
        <v>65187603</v>
      </c>
      <c r="J56" s="49">
        <v>25568251</v>
      </c>
      <c r="K56" s="49">
        <v>892</v>
      </c>
    </row>
    <row r="57" spans="1:11" x14ac:dyDescent="0.3">
      <c r="A57" s="48">
        <v>55</v>
      </c>
      <c r="B57" s="4" t="s">
        <v>79</v>
      </c>
      <c r="C57" s="5" t="s">
        <v>19</v>
      </c>
      <c r="D57" s="6">
        <v>41432</v>
      </c>
      <c r="E57" s="7">
        <v>2536</v>
      </c>
      <c r="F57" s="8">
        <v>34058360</v>
      </c>
      <c r="G57" s="9">
        <v>41494</v>
      </c>
      <c r="H57" s="7">
        <v>2591</v>
      </c>
      <c r="I57" s="8">
        <v>64473115</v>
      </c>
      <c r="J57" s="49">
        <v>25568251</v>
      </c>
      <c r="K57" s="49">
        <v>892</v>
      </c>
    </row>
    <row r="58" spans="1:11" x14ac:dyDescent="0.3">
      <c r="A58" s="48">
        <v>56</v>
      </c>
      <c r="B58" s="4" t="s">
        <v>80</v>
      </c>
      <c r="C58" s="5" t="s">
        <v>81</v>
      </c>
      <c r="D58" s="6">
        <v>41579</v>
      </c>
      <c r="E58" s="7">
        <v>3065</v>
      </c>
      <c r="F58" s="8">
        <v>16334566</v>
      </c>
      <c r="G58" s="9">
        <v>41690</v>
      </c>
      <c r="H58" s="7">
        <v>3237</v>
      </c>
      <c r="I58" s="8">
        <v>63914167</v>
      </c>
      <c r="J58" s="49">
        <v>25568251</v>
      </c>
      <c r="K58" s="49">
        <v>892</v>
      </c>
    </row>
    <row r="59" spans="1:11" x14ac:dyDescent="0.3">
      <c r="A59" s="48">
        <v>57</v>
      </c>
      <c r="B59" s="4" t="s">
        <v>82</v>
      </c>
      <c r="C59" s="5" t="s">
        <v>47</v>
      </c>
      <c r="D59" s="6">
        <v>41579</v>
      </c>
      <c r="E59" s="7">
        <v>3407</v>
      </c>
      <c r="F59" s="8">
        <v>27017351</v>
      </c>
      <c r="G59" s="9">
        <v>41648</v>
      </c>
      <c r="H59" s="7">
        <v>3407</v>
      </c>
      <c r="I59" s="8">
        <v>61737191</v>
      </c>
      <c r="J59" s="49">
        <v>25568251</v>
      </c>
      <c r="K59" s="49">
        <v>892</v>
      </c>
    </row>
    <row r="60" spans="1:11" x14ac:dyDescent="0.3">
      <c r="A60" s="48">
        <v>58</v>
      </c>
      <c r="B60" s="4" t="s">
        <v>83</v>
      </c>
      <c r="C60" s="5" t="s">
        <v>21</v>
      </c>
      <c r="D60" s="6">
        <v>41537</v>
      </c>
      <c r="E60" s="7">
        <v>3260</v>
      </c>
      <c r="F60" s="8">
        <v>20817053</v>
      </c>
      <c r="G60" s="9">
        <v>41613</v>
      </c>
      <c r="H60" s="7">
        <v>3290</v>
      </c>
      <c r="I60" s="8">
        <v>61002302</v>
      </c>
      <c r="J60" s="49">
        <v>25568251</v>
      </c>
      <c r="K60" s="49">
        <v>892</v>
      </c>
    </row>
    <row r="61" spans="1:11" x14ac:dyDescent="0.3">
      <c r="A61" s="48">
        <v>59</v>
      </c>
      <c r="B61" s="4" t="s">
        <v>84</v>
      </c>
      <c r="C61" s="5" t="s">
        <v>36</v>
      </c>
      <c r="D61" s="6">
        <v>41425</v>
      </c>
      <c r="E61" s="7">
        <v>3401</v>
      </c>
      <c r="F61" s="8">
        <v>27520040</v>
      </c>
      <c r="G61" s="9">
        <v>41504</v>
      </c>
      <c r="H61" s="7">
        <v>3401</v>
      </c>
      <c r="I61" s="8">
        <v>60522097</v>
      </c>
      <c r="J61" s="49">
        <v>25568251</v>
      </c>
      <c r="K61" s="49">
        <v>892</v>
      </c>
    </row>
    <row r="62" spans="1:11" x14ac:dyDescent="0.3">
      <c r="A62" s="48">
        <v>60</v>
      </c>
      <c r="B62" s="4" t="s">
        <v>85</v>
      </c>
      <c r="C62" s="5" t="s">
        <v>32</v>
      </c>
      <c r="D62" s="6">
        <v>41633</v>
      </c>
      <c r="E62" s="7">
        <v>2909</v>
      </c>
      <c r="F62" s="8">
        <v>12765508</v>
      </c>
      <c r="G62" s="9">
        <v>41739</v>
      </c>
      <c r="H62" s="7">
        <v>2922</v>
      </c>
      <c r="I62" s="8">
        <v>58236838</v>
      </c>
      <c r="J62" s="49">
        <v>25568251</v>
      </c>
      <c r="K62" s="49">
        <v>892</v>
      </c>
    </row>
    <row r="63" spans="1:11" x14ac:dyDescent="0.3">
      <c r="A63" s="48">
        <v>61</v>
      </c>
      <c r="B63" s="4" t="s">
        <v>86</v>
      </c>
      <c r="C63" s="5" t="s">
        <v>50</v>
      </c>
      <c r="D63" s="6">
        <v>41320</v>
      </c>
      <c r="E63" s="7">
        <v>3288</v>
      </c>
      <c r="F63" s="8">
        <v>15891055</v>
      </c>
      <c r="G63" s="9">
        <v>41480</v>
      </c>
      <c r="H63" s="7">
        <v>3353</v>
      </c>
      <c r="I63" s="8">
        <v>57012977</v>
      </c>
      <c r="J63" s="49">
        <v>25568251</v>
      </c>
      <c r="K63" s="49">
        <v>892</v>
      </c>
    </row>
    <row r="64" spans="1:11" x14ac:dyDescent="0.3">
      <c r="A64" s="48">
        <v>62</v>
      </c>
      <c r="B64" s="4" t="s">
        <v>87</v>
      </c>
      <c r="C64" s="5" t="s">
        <v>88</v>
      </c>
      <c r="D64" s="6">
        <v>41565</v>
      </c>
      <c r="E64" s="7">
        <v>19</v>
      </c>
      <c r="F64" s="8">
        <v>923715</v>
      </c>
      <c r="G64" s="9">
        <v>41767</v>
      </c>
      <c r="H64" s="7">
        <v>1474</v>
      </c>
      <c r="I64" s="8">
        <v>56671993</v>
      </c>
      <c r="J64" s="49">
        <v>25568251</v>
      </c>
      <c r="K64" s="49">
        <v>892</v>
      </c>
    </row>
    <row r="65" spans="1:11" x14ac:dyDescent="0.3">
      <c r="A65" s="48">
        <v>63</v>
      </c>
      <c r="B65" s="4" t="s">
        <v>89</v>
      </c>
      <c r="C65" s="5" t="s">
        <v>71</v>
      </c>
      <c r="D65" s="6">
        <v>41579</v>
      </c>
      <c r="E65" s="7">
        <v>3736</v>
      </c>
      <c r="F65" s="8">
        <v>15805237</v>
      </c>
      <c r="G65" s="9">
        <v>41718</v>
      </c>
      <c r="H65" s="7">
        <v>3736</v>
      </c>
      <c r="I65" s="8">
        <v>55750480</v>
      </c>
      <c r="J65" s="49">
        <v>25568251</v>
      </c>
      <c r="K65" s="49">
        <v>892</v>
      </c>
    </row>
    <row r="66" spans="1:11" x14ac:dyDescent="0.3">
      <c r="A66" s="48">
        <v>64</v>
      </c>
      <c r="B66" s="4" t="s">
        <v>90</v>
      </c>
      <c r="C66" s="5" t="s">
        <v>28</v>
      </c>
      <c r="D66" s="6">
        <v>41299</v>
      </c>
      <c r="E66" s="7">
        <v>3372</v>
      </c>
      <c r="F66" s="8">
        <v>19690956</v>
      </c>
      <c r="G66" s="9">
        <v>41389</v>
      </c>
      <c r="H66" s="7">
        <v>3375</v>
      </c>
      <c r="I66" s="8">
        <v>55703475</v>
      </c>
      <c r="J66" s="49">
        <v>25568251</v>
      </c>
      <c r="K66" s="49">
        <v>892</v>
      </c>
    </row>
    <row r="67" spans="1:11" x14ac:dyDescent="0.3">
      <c r="A67" s="48">
        <v>65</v>
      </c>
      <c r="B67" s="4" t="s">
        <v>91</v>
      </c>
      <c r="C67" s="5" t="s">
        <v>60</v>
      </c>
      <c r="D67" s="6">
        <v>41369</v>
      </c>
      <c r="E67" s="7">
        <v>3025</v>
      </c>
      <c r="F67" s="8">
        <v>25775847</v>
      </c>
      <c r="G67" s="9">
        <v>41434</v>
      </c>
      <c r="H67" s="7">
        <v>3025</v>
      </c>
      <c r="I67" s="8">
        <v>54239856</v>
      </c>
      <c r="J67" s="49">
        <v>25568251</v>
      </c>
      <c r="K67" s="49">
        <v>892</v>
      </c>
    </row>
    <row r="68" spans="1:11" x14ac:dyDescent="0.3">
      <c r="A68" s="48">
        <v>66</v>
      </c>
      <c r="B68" s="4" t="s">
        <v>92</v>
      </c>
      <c r="C68" s="5" t="s">
        <v>47</v>
      </c>
      <c r="D68" s="6">
        <v>41474</v>
      </c>
      <c r="E68" s="7">
        <v>3016</v>
      </c>
      <c r="F68" s="8">
        <v>18048422</v>
      </c>
      <c r="G68" s="9">
        <v>41564</v>
      </c>
      <c r="H68" s="7">
        <v>3016</v>
      </c>
      <c r="I68" s="8">
        <v>53262560</v>
      </c>
      <c r="J68" s="49">
        <v>25568251</v>
      </c>
      <c r="K68" s="49">
        <v>892</v>
      </c>
    </row>
    <row r="69" spans="1:11" x14ac:dyDescent="0.3">
      <c r="A69" s="48">
        <v>67</v>
      </c>
      <c r="B69" s="4" t="s">
        <v>93</v>
      </c>
      <c r="C69" s="5" t="s">
        <v>14</v>
      </c>
      <c r="D69" s="6">
        <v>41621</v>
      </c>
      <c r="E69" s="7">
        <v>2194</v>
      </c>
      <c r="F69" s="8">
        <v>16007634</v>
      </c>
      <c r="G69" s="9">
        <v>41683</v>
      </c>
      <c r="H69" s="7">
        <v>2194</v>
      </c>
      <c r="I69" s="8">
        <v>52543354</v>
      </c>
      <c r="J69" s="49">
        <v>25568251</v>
      </c>
      <c r="K69" s="49">
        <v>892</v>
      </c>
    </row>
    <row r="70" spans="1:11" ht="31.2" x14ac:dyDescent="0.3">
      <c r="A70" s="48">
        <v>68</v>
      </c>
      <c r="B70" s="4" t="s">
        <v>94</v>
      </c>
      <c r="C70" s="5" t="s">
        <v>14</v>
      </c>
      <c r="D70" s="6">
        <v>41362</v>
      </c>
      <c r="E70" s="7">
        <v>2047</v>
      </c>
      <c r="F70" s="8">
        <v>21641679</v>
      </c>
      <c r="G70" s="9">
        <v>41424</v>
      </c>
      <c r="H70" s="7">
        <v>2047</v>
      </c>
      <c r="I70" s="8">
        <v>51975354</v>
      </c>
      <c r="J70" s="49">
        <v>25568251</v>
      </c>
      <c r="K70" s="49">
        <v>892</v>
      </c>
    </row>
    <row r="71" spans="1:11" x14ac:dyDescent="0.3">
      <c r="A71" s="48">
        <v>69</v>
      </c>
      <c r="B71" s="4" t="s">
        <v>95</v>
      </c>
      <c r="C71" s="5" t="s">
        <v>60</v>
      </c>
      <c r="D71" s="6">
        <v>41348</v>
      </c>
      <c r="E71" s="7">
        <v>2507</v>
      </c>
      <c r="F71" s="8">
        <v>17118745</v>
      </c>
      <c r="G71" s="9">
        <v>41434</v>
      </c>
      <c r="H71" s="7">
        <v>2507</v>
      </c>
      <c r="I71" s="8">
        <v>51872378</v>
      </c>
      <c r="J71" s="49">
        <v>25568251</v>
      </c>
      <c r="K71" s="49">
        <v>892</v>
      </c>
    </row>
    <row r="72" spans="1:11" x14ac:dyDescent="0.3">
      <c r="A72" s="48">
        <v>70</v>
      </c>
      <c r="B72" s="4" t="s">
        <v>96</v>
      </c>
      <c r="C72" s="5" t="s">
        <v>28</v>
      </c>
      <c r="D72" s="6">
        <v>41390</v>
      </c>
      <c r="E72" s="7">
        <v>3277</v>
      </c>
      <c r="F72" s="8">
        <v>20244505</v>
      </c>
      <c r="G72" s="9">
        <v>41515</v>
      </c>
      <c r="H72" s="7">
        <v>3303</v>
      </c>
      <c r="I72" s="8">
        <v>49875291</v>
      </c>
      <c r="J72" s="49">
        <v>25568251</v>
      </c>
      <c r="K72" s="49">
        <v>892</v>
      </c>
    </row>
    <row r="73" spans="1:11" x14ac:dyDescent="0.3">
      <c r="A73" s="48">
        <v>71</v>
      </c>
      <c r="B73" s="4" t="s">
        <v>97</v>
      </c>
      <c r="C73" s="5" t="s">
        <v>21</v>
      </c>
      <c r="D73" s="6">
        <v>41285</v>
      </c>
      <c r="E73" s="7">
        <v>3103</v>
      </c>
      <c r="F73" s="8">
        <v>17070347</v>
      </c>
      <c r="G73" s="9">
        <v>41368</v>
      </c>
      <c r="H73" s="7">
        <v>3103</v>
      </c>
      <c r="I73" s="8">
        <v>46000903</v>
      </c>
      <c r="J73" s="49">
        <v>25568251</v>
      </c>
      <c r="K73" s="49">
        <v>892</v>
      </c>
    </row>
    <row r="74" spans="1:11" x14ac:dyDescent="0.3">
      <c r="A74" s="48">
        <v>72</v>
      </c>
      <c r="B74" s="4" t="s">
        <v>98</v>
      </c>
      <c r="C74" s="5" t="s">
        <v>19</v>
      </c>
      <c r="D74" s="6">
        <v>41369</v>
      </c>
      <c r="E74" s="7">
        <v>2771</v>
      </c>
      <c r="F74" s="8">
        <v>18620145</v>
      </c>
      <c r="G74" s="9">
        <v>41417</v>
      </c>
      <c r="H74" s="7">
        <v>2778</v>
      </c>
      <c r="I74" s="8">
        <v>45385935</v>
      </c>
      <c r="J74" s="49">
        <v>25568251</v>
      </c>
      <c r="K74" s="49">
        <v>892</v>
      </c>
    </row>
    <row r="75" spans="1:11" x14ac:dyDescent="0.3">
      <c r="A75" s="48">
        <v>73</v>
      </c>
      <c r="B75" s="4" t="s">
        <v>99</v>
      </c>
      <c r="C75" s="5" t="s">
        <v>32</v>
      </c>
      <c r="D75" s="6">
        <v>41432</v>
      </c>
      <c r="E75" s="7">
        <v>3366</v>
      </c>
      <c r="F75" s="8">
        <v>17325307</v>
      </c>
      <c r="G75" s="9">
        <v>41529</v>
      </c>
      <c r="H75" s="7">
        <v>3399</v>
      </c>
      <c r="I75" s="8">
        <v>44672764</v>
      </c>
      <c r="J75" s="49">
        <v>25568251</v>
      </c>
      <c r="K75" s="49">
        <v>892</v>
      </c>
    </row>
    <row r="76" spans="1:11" x14ac:dyDescent="0.3">
      <c r="A76" s="48">
        <v>74</v>
      </c>
      <c r="B76" s="4" t="s">
        <v>100</v>
      </c>
      <c r="C76" s="5" t="s">
        <v>14</v>
      </c>
      <c r="D76" s="6">
        <v>41516</v>
      </c>
      <c r="E76" s="7">
        <v>348</v>
      </c>
      <c r="F76" s="8">
        <v>7846426</v>
      </c>
      <c r="G76" s="9">
        <v>41620</v>
      </c>
      <c r="H76" s="7">
        <v>978</v>
      </c>
      <c r="I76" s="8">
        <v>44467206</v>
      </c>
      <c r="J76" s="49">
        <v>25568251</v>
      </c>
      <c r="K76" s="49">
        <v>892</v>
      </c>
    </row>
    <row r="77" spans="1:11" x14ac:dyDescent="0.3">
      <c r="A77" s="48">
        <v>75</v>
      </c>
      <c r="B77" s="4" t="s">
        <v>101</v>
      </c>
      <c r="C77" s="5" t="s">
        <v>47</v>
      </c>
      <c r="D77" s="6">
        <v>41327</v>
      </c>
      <c r="E77" s="7">
        <v>2511</v>
      </c>
      <c r="F77" s="8">
        <v>13167607</v>
      </c>
      <c r="G77" s="9">
        <v>41424</v>
      </c>
      <c r="H77" s="7">
        <v>2511</v>
      </c>
      <c r="I77" s="8">
        <v>42930462</v>
      </c>
      <c r="J77" s="49">
        <v>25568251</v>
      </c>
      <c r="K77" s="49">
        <v>892</v>
      </c>
    </row>
    <row r="78" spans="1:11" x14ac:dyDescent="0.3">
      <c r="A78" s="48">
        <v>76</v>
      </c>
      <c r="B78" s="4" t="s">
        <v>102</v>
      </c>
      <c r="C78" s="5" t="s">
        <v>19</v>
      </c>
      <c r="D78" s="6">
        <v>41523</v>
      </c>
      <c r="E78" s="7">
        <v>3107</v>
      </c>
      <c r="F78" s="8">
        <v>19030375</v>
      </c>
      <c r="G78" s="9">
        <v>41578</v>
      </c>
      <c r="H78" s="7">
        <v>3117</v>
      </c>
      <c r="I78" s="8">
        <v>42025135</v>
      </c>
      <c r="J78" s="49">
        <v>25568251</v>
      </c>
      <c r="K78" s="49">
        <v>892</v>
      </c>
    </row>
    <row r="79" spans="1:11" x14ac:dyDescent="0.3">
      <c r="A79" s="48">
        <v>77</v>
      </c>
      <c r="B79" s="4" t="s">
        <v>103</v>
      </c>
      <c r="C79" s="5" t="s">
        <v>104</v>
      </c>
      <c r="D79" s="6">
        <v>41285</v>
      </c>
      <c r="E79" s="7">
        <v>2160</v>
      </c>
      <c r="F79" s="8">
        <v>18101682</v>
      </c>
      <c r="G79" s="9">
        <v>41336</v>
      </c>
      <c r="H79" s="7">
        <v>2160</v>
      </c>
      <c r="I79" s="8">
        <v>40041683</v>
      </c>
      <c r="J79" s="49">
        <v>25568251</v>
      </c>
      <c r="K79" s="49">
        <v>892</v>
      </c>
    </row>
    <row r="80" spans="1:11" x14ac:dyDescent="0.3">
      <c r="A80" s="48">
        <v>78</v>
      </c>
      <c r="B80" s="4" t="s">
        <v>105</v>
      </c>
      <c r="C80" s="5" t="s">
        <v>19</v>
      </c>
      <c r="D80" s="6">
        <v>41633</v>
      </c>
      <c r="E80" s="7">
        <v>2689</v>
      </c>
      <c r="F80" s="8">
        <v>9910310</v>
      </c>
      <c r="G80" s="9">
        <v>41676</v>
      </c>
      <c r="H80" s="7">
        <v>2690</v>
      </c>
      <c r="I80" s="8">
        <v>38362475</v>
      </c>
      <c r="J80" s="49">
        <v>25568251</v>
      </c>
      <c r="K80" s="49">
        <v>892</v>
      </c>
    </row>
    <row r="81" spans="1:11" x14ac:dyDescent="0.3">
      <c r="A81" s="48">
        <v>79</v>
      </c>
      <c r="B81" s="4" t="s">
        <v>106</v>
      </c>
      <c r="C81" s="5" t="s">
        <v>50</v>
      </c>
      <c r="D81" s="6">
        <v>41635</v>
      </c>
      <c r="E81" s="7">
        <v>5</v>
      </c>
      <c r="F81" s="8">
        <v>179302</v>
      </c>
      <c r="G81" s="9">
        <v>41767</v>
      </c>
      <c r="H81" s="7">
        <v>2411</v>
      </c>
      <c r="I81" s="8">
        <v>37738810</v>
      </c>
      <c r="J81" s="49">
        <v>25568251</v>
      </c>
      <c r="K81" s="49">
        <v>892</v>
      </c>
    </row>
    <row r="82" spans="1:11" x14ac:dyDescent="0.3">
      <c r="A82" s="48">
        <v>80</v>
      </c>
      <c r="B82" s="4" t="s">
        <v>107</v>
      </c>
      <c r="C82" s="5" t="s">
        <v>50</v>
      </c>
      <c r="D82" s="6">
        <v>41600</v>
      </c>
      <c r="E82" s="7">
        <v>4</v>
      </c>
      <c r="F82" s="8">
        <v>128435</v>
      </c>
      <c r="G82" s="9">
        <v>41781</v>
      </c>
      <c r="H82" s="7">
        <v>1225</v>
      </c>
      <c r="I82" s="8">
        <v>37709979</v>
      </c>
      <c r="J82" s="49">
        <v>25568251</v>
      </c>
      <c r="K82" s="49">
        <v>892</v>
      </c>
    </row>
    <row r="83" spans="1:11" x14ac:dyDescent="0.3">
      <c r="A83" s="48">
        <v>81</v>
      </c>
      <c r="B83" s="4" t="s">
        <v>108</v>
      </c>
      <c r="C83" s="5" t="s">
        <v>71</v>
      </c>
      <c r="D83" s="6">
        <v>41530</v>
      </c>
      <c r="E83" s="7">
        <v>3091</v>
      </c>
      <c r="F83" s="8">
        <v>14034764</v>
      </c>
      <c r="G83" s="9">
        <v>41648</v>
      </c>
      <c r="H83" s="7">
        <v>3091</v>
      </c>
      <c r="I83" s="8">
        <v>36918811</v>
      </c>
      <c r="J83" s="49">
        <v>25568251</v>
      </c>
      <c r="K83" s="49">
        <v>892</v>
      </c>
    </row>
    <row r="84" spans="1:11" x14ac:dyDescent="0.3">
      <c r="A84" s="48">
        <v>82</v>
      </c>
      <c r="B84" s="4" t="s">
        <v>109</v>
      </c>
      <c r="C84" s="5" t="s">
        <v>32</v>
      </c>
      <c r="D84" s="6">
        <v>41628</v>
      </c>
      <c r="E84" s="7">
        <v>3231</v>
      </c>
      <c r="F84" s="8">
        <v>7091938</v>
      </c>
      <c r="G84" s="9">
        <v>41739</v>
      </c>
      <c r="H84" s="7">
        <v>3243</v>
      </c>
      <c r="I84" s="8">
        <v>36076121</v>
      </c>
      <c r="J84" s="49">
        <v>25568251</v>
      </c>
      <c r="K84" s="49">
        <v>892</v>
      </c>
    </row>
    <row r="85" spans="1:11" x14ac:dyDescent="0.3">
      <c r="A85" s="48">
        <v>83</v>
      </c>
      <c r="B85" s="4" t="s">
        <v>110</v>
      </c>
      <c r="C85" s="5" t="s">
        <v>111</v>
      </c>
      <c r="D85" s="6">
        <v>41565</v>
      </c>
      <c r="E85" s="7">
        <v>3157</v>
      </c>
      <c r="F85" s="8">
        <v>16101552</v>
      </c>
      <c r="G85" s="9">
        <v>41602</v>
      </c>
      <c r="H85" s="7">
        <v>3157</v>
      </c>
      <c r="I85" s="8">
        <v>35266619</v>
      </c>
      <c r="J85" s="49">
        <v>25568251</v>
      </c>
      <c r="K85" s="49">
        <v>892</v>
      </c>
    </row>
    <row r="86" spans="1:11" x14ac:dyDescent="0.3">
      <c r="A86" s="48">
        <v>84</v>
      </c>
      <c r="B86" s="4" t="s">
        <v>112</v>
      </c>
      <c r="C86" s="5" t="s">
        <v>14</v>
      </c>
      <c r="D86" s="6">
        <v>41278</v>
      </c>
      <c r="E86" s="7">
        <v>2654</v>
      </c>
      <c r="F86" s="8">
        <v>21744470</v>
      </c>
      <c r="G86" s="9">
        <v>41333</v>
      </c>
      <c r="H86" s="7">
        <v>2659</v>
      </c>
      <c r="I86" s="8">
        <v>34341945</v>
      </c>
      <c r="J86" s="49">
        <v>25568251</v>
      </c>
      <c r="K86" s="49">
        <v>892</v>
      </c>
    </row>
    <row r="87" spans="1:11" x14ac:dyDescent="0.3">
      <c r="A87" s="48">
        <v>85</v>
      </c>
      <c r="B87" s="4" t="s">
        <v>113</v>
      </c>
      <c r="C87" s="5" t="s">
        <v>19</v>
      </c>
      <c r="D87" s="6">
        <v>41474</v>
      </c>
      <c r="E87" s="7">
        <v>2852</v>
      </c>
      <c r="F87" s="8">
        <v>12691415</v>
      </c>
      <c r="G87" s="9">
        <v>41543</v>
      </c>
      <c r="H87" s="7">
        <v>2852</v>
      </c>
      <c r="I87" s="8">
        <v>33618855</v>
      </c>
      <c r="J87" s="49">
        <v>25568251</v>
      </c>
      <c r="K87" s="49">
        <v>892</v>
      </c>
    </row>
    <row r="88" spans="1:11" x14ac:dyDescent="0.3">
      <c r="A88" s="48">
        <v>86</v>
      </c>
      <c r="B88" s="4" t="s">
        <v>114</v>
      </c>
      <c r="C88" s="5" t="s">
        <v>115</v>
      </c>
      <c r="D88" s="6">
        <v>41481</v>
      </c>
      <c r="E88" s="7">
        <v>6</v>
      </c>
      <c r="F88" s="8">
        <v>612064</v>
      </c>
      <c r="G88" s="9">
        <v>41732</v>
      </c>
      <c r="H88" s="7">
        <v>1283</v>
      </c>
      <c r="I88" s="8">
        <v>33405481</v>
      </c>
      <c r="J88" s="49">
        <v>25568251</v>
      </c>
      <c r="K88" s="49">
        <v>892</v>
      </c>
    </row>
    <row r="89" spans="1:11" x14ac:dyDescent="0.3">
      <c r="A89" s="48">
        <v>87</v>
      </c>
      <c r="B89" s="4" t="s">
        <v>116</v>
      </c>
      <c r="C89" s="5" t="s">
        <v>47</v>
      </c>
      <c r="D89" s="6">
        <v>41458</v>
      </c>
      <c r="E89" s="7">
        <v>876</v>
      </c>
      <c r="F89" s="8">
        <v>10030463</v>
      </c>
      <c r="G89" s="9">
        <v>41508</v>
      </c>
      <c r="H89" s="7">
        <v>892</v>
      </c>
      <c r="I89" s="8">
        <v>32244051</v>
      </c>
      <c r="J89" s="49">
        <v>25568251</v>
      </c>
      <c r="K89" s="49">
        <v>892</v>
      </c>
    </row>
    <row r="90" spans="1:11" x14ac:dyDescent="0.3">
      <c r="A90" s="48">
        <v>88</v>
      </c>
      <c r="B90" s="4" t="s">
        <v>117</v>
      </c>
      <c r="C90" s="5" t="s">
        <v>104</v>
      </c>
      <c r="D90" s="6">
        <v>41313</v>
      </c>
      <c r="E90" s="7">
        <v>2605</v>
      </c>
      <c r="F90" s="8">
        <v>9303145</v>
      </c>
      <c r="G90" s="9">
        <v>41410</v>
      </c>
      <c r="H90" s="7">
        <v>2605</v>
      </c>
      <c r="I90" s="8">
        <v>32172757</v>
      </c>
      <c r="J90" s="49">
        <v>25568251</v>
      </c>
      <c r="K90" s="49">
        <v>892</v>
      </c>
    </row>
    <row r="91" spans="1:11" x14ac:dyDescent="0.3">
      <c r="A91" s="48">
        <v>89</v>
      </c>
      <c r="B91" s="4" t="s">
        <v>118</v>
      </c>
      <c r="C91" s="5" t="s">
        <v>119</v>
      </c>
      <c r="D91" s="6">
        <v>41376</v>
      </c>
      <c r="E91" s="7">
        <v>3402</v>
      </c>
      <c r="F91" s="8">
        <v>14157367</v>
      </c>
      <c r="G91" s="9">
        <v>41480</v>
      </c>
      <c r="H91" s="7">
        <v>3402</v>
      </c>
      <c r="I91" s="8">
        <v>32015787</v>
      </c>
      <c r="J91" s="49">
        <v>25568251</v>
      </c>
      <c r="K91" s="49">
        <v>892</v>
      </c>
    </row>
    <row r="92" spans="1:11" x14ac:dyDescent="0.3">
      <c r="A92" s="48">
        <v>90</v>
      </c>
      <c r="B92" s="4" t="s">
        <v>120</v>
      </c>
      <c r="C92" s="5" t="s">
        <v>111</v>
      </c>
      <c r="D92" s="6">
        <v>41507</v>
      </c>
      <c r="E92" s="7">
        <v>3118</v>
      </c>
      <c r="F92" s="8">
        <v>9336957</v>
      </c>
      <c r="G92" s="9">
        <v>41553</v>
      </c>
      <c r="H92" s="7">
        <v>3118</v>
      </c>
      <c r="I92" s="8">
        <v>31165421</v>
      </c>
      <c r="J92" s="49">
        <v>25568251</v>
      </c>
      <c r="K92" s="49">
        <v>892</v>
      </c>
    </row>
    <row r="93" spans="1:11" x14ac:dyDescent="0.3">
      <c r="A93" s="48">
        <v>91</v>
      </c>
      <c r="B93" s="4" t="s">
        <v>121</v>
      </c>
      <c r="C93" s="5" t="s">
        <v>16</v>
      </c>
      <c r="D93" s="6">
        <v>41600</v>
      </c>
      <c r="E93" s="7">
        <v>3036</v>
      </c>
      <c r="F93" s="8">
        <v>7944977</v>
      </c>
      <c r="G93" s="9">
        <v>41718</v>
      </c>
      <c r="H93" s="7">
        <v>3036</v>
      </c>
      <c r="I93" s="8">
        <v>30664106</v>
      </c>
      <c r="J93" s="49">
        <v>25568251</v>
      </c>
      <c r="K93" s="49">
        <v>892</v>
      </c>
    </row>
    <row r="94" spans="1:11" x14ac:dyDescent="0.3">
      <c r="A94" s="48">
        <v>92</v>
      </c>
      <c r="B94" s="4" t="s">
        <v>122</v>
      </c>
      <c r="C94" s="5" t="s">
        <v>21</v>
      </c>
      <c r="D94" s="6">
        <v>41633</v>
      </c>
      <c r="E94" s="7">
        <v>2838</v>
      </c>
      <c r="F94" s="8">
        <v>7021993</v>
      </c>
      <c r="G94" s="9">
        <v>41711</v>
      </c>
      <c r="H94" s="7">
        <v>2856</v>
      </c>
      <c r="I94" s="8">
        <v>29807260</v>
      </c>
      <c r="J94" s="49">
        <v>25568251</v>
      </c>
      <c r="K94" s="49">
        <v>892</v>
      </c>
    </row>
    <row r="95" spans="1:11" x14ac:dyDescent="0.3">
      <c r="A95" s="48">
        <v>93</v>
      </c>
      <c r="B95" s="4" t="s">
        <v>123</v>
      </c>
      <c r="C95" s="5" t="s">
        <v>60</v>
      </c>
      <c r="D95" s="6">
        <v>41516</v>
      </c>
      <c r="E95" s="7">
        <v>2735</v>
      </c>
      <c r="F95" s="8">
        <v>15815497</v>
      </c>
      <c r="G95" s="9">
        <v>41553</v>
      </c>
      <c r="H95" s="7">
        <v>2735</v>
      </c>
      <c r="I95" s="8">
        <v>28873374</v>
      </c>
      <c r="J95" s="49">
        <v>25568251</v>
      </c>
      <c r="K95" s="49">
        <v>892</v>
      </c>
    </row>
    <row r="96" spans="1:11" x14ac:dyDescent="0.3">
      <c r="A96" s="48">
        <v>94</v>
      </c>
      <c r="B96" s="4" t="s">
        <v>124</v>
      </c>
      <c r="C96" s="5" t="s">
        <v>19</v>
      </c>
      <c r="D96" s="6">
        <v>41502</v>
      </c>
      <c r="E96" s="7">
        <v>2940</v>
      </c>
      <c r="F96" s="8">
        <v>13332955</v>
      </c>
      <c r="G96" s="9">
        <v>41543</v>
      </c>
      <c r="H96" s="7">
        <v>2945</v>
      </c>
      <c r="I96" s="8">
        <v>28795985</v>
      </c>
      <c r="J96" s="49">
        <v>25568251</v>
      </c>
      <c r="K96" s="49">
        <v>892</v>
      </c>
    </row>
    <row r="97" spans="1:11" x14ac:dyDescent="0.3">
      <c r="A97" s="48">
        <v>95</v>
      </c>
      <c r="B97" s="4" t="s">
        <v>125</v>
      </c>
      <c r="C97" s="5" t="s">
        <v>126</v>
      </c>
      <c r="D97" s="6">
        <v>41579</v>
      </c>
      <c r="E97" s="7">
        <v>9</v>
      </c>
      <c r="F97" s="8">
        <v>260865</v>
      </c>
      <c r="G97" s="9">
        <v>41760</v>
      </c>
      <c r="H97" s="7">
        <v>1110</v>
      </c>
      <c r="I97" s="8">
        <v>27298285</v>
      </c>
      <c r="J97" s="49">
        <v>25568251</v>
      </c>
      <c r="K97" s="49">
        <v>892</v>
      </c>
    </row>
    <row r="98" spans="1:11" x14ac:dyDescent="0.3">
      <c r="A98" s="48">
        <v>96</v>
      </c>
      <c r="B98" s="4" t="s">
        <v>127</v>
      </c>
      <c r="C98" s="5" t="s">
        <v>19</v>
      </c>
      <c r="D98" s="6">
        <v>41537</v>
      </c>
      <c r="E98" s="7">
        <v>5</v>
      </c>
      <c r="F98" s="8">
        <v>187289</v>
      </c>
      <c r="G98" s="9">
        <v>41599</v>
      </c>
      <c r="H98" s="7">
        <v>2308</v>
      </c>
      <c r="I98" s="8">
        <v>26947624</v>
      </c>
      <c r="J98" s="49">
        <v>25568251</v>
      </c>
      <c r="K98" s="49">
        <v>892</v>
      </c>
    </row>
    <row r="99" spans="1:11" x14ac:dyDescent="0.3">
      <c r="A99" s="48">
        <v>97</v>
      </c>
      <c r="B99" s="4" t="s">
        <v>128</v>
      </c>
      <c r="C99" s="5" t="s">
        <v>104</v>
      </c>
      <c r="D99" s="6">
        <v>41362</v>
      </c>
      <c r="E99" s="7">
        <v>3202</v>
      </c>
      <c r="F99" s="8">
        <v>10600112</v>
      </c>
      <c r="G99" s="9">
        <v>41424</v>
      </c>
      <c r="H99" s="7">
        <v>3202</v>
      </c>
      <c r="I99" s="8">
        <v>26627201</v>
      </c>
      <c r="J99" s="49">
        <v>25568251</v>
      </c>
      <c r="K99" s="49">
        <v>892</v>
      </c>
    </row>
    <row r="100" spans="1:11" x14ac:dyDescent="0.3">
      <c r="A100" s="48">
        <v>98</v>
      </c>
      <c r="B100" s="4" t="s">
        <v>129</v>
      </c>
      <c r="C100" s="5" t="s">
        <v>126</v>
      </c>
      <c r="D100" s="6">
        <v>41509</v>
      </c>
      <c r="E100" s="7">
        <v>1551</v>
      </c>
      <c r="F100" s="8">
        <v>8811790</v>
      </c>
      <c r="G100" s="9">
        <v>41613</v>
      </c>
      <c r="H100" s="7">
        <v>1553</v>
      </c>
      <c r="I100" s="8">
        <v>26004851</v>
      </c>
      <c r="J100" s="49">
        <v>25568251</v>
      </c>
      <c r="K100" s="49">
        <v>892</v>
      </c>
    </row>
    <row r="101" spans="1:11" x14ac:dyDescent="0.3">
      <c r="A101" s="48">
        <v>99</v>
      </c>
      <c r="B101" s="4" t="s">
        <v>130</v>
      </c>
      <c r="C101" s="5" t="s">
        <v>71</v>
      </c>
      <c r="D101" s="6">
        <v>41334</v>
      </c>
      <c r="E101" s="7">
        <v>2771</v>
      </c>
      <c r="F101" s="8">
        <v>8754168</v>
      </c>
      <c r="G101" s="9">
        <v>41410</v>
      </c>
      <c r="H101" s="7">
        <v>2771</v>
      </c>
      <c r="I101" s="8">
        <v>25682380</v>
      </c>
      <c r="J101" s="49">
        <v>25568251</v>
      </c>
      <c r="K101" s="49">
        <v>892</v>
      </c>
    </row>
    <row r="102" spans="1:11" x14ac:dyDescent="0.3">
      <c r="A102" s="48">
        <v>100</v>
      </c>
      <c r="B102" s="4" t="s">
        <v>131</v>
      </c>
      <c r="C102" s="5" t="s">
        <v>21</v>
      </c>
      <c r="D102" s="6">
        <v>41626</v>
      </c>
      <c r="E102" s="7">
        <v>6</v>
      </c>
      <c r="F102" s="8">
        <v>260382</v>
      </c>
      <c r="G102" s="9">
        <v>41746</v>
      </c>
      <c r="H102" s="7">
        <v>1729</v>
      </c>
      <c r="I102" s="8">
        <v>25568251</v>
      </c>
      <c r="J102" s="49">
        <v>25568251</v>
      </c>
      <c r="K102" s="49">
        <v>892</v>
      </c>
    </row>
  </sheetData>
  <mergeCells count="1">
    <mergeCell ref="A1:I1"/>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 min="12" max="12" width="40.59765625" customWidth="1"/>
    <col min="13" max="13" width="59.59765625" customWidth="1"/>
  </cols>
  <sheetData>
    <row r="1" spans="1:13" x14ac:dyDescent="0.3">
      <c r="A1" s="62" t="s">
        <v>3</v>
      </c>
      <c r="B1" s="63"/>
      <c r="C1" s="63"/>
      <c r="D1" s="63"/>
      <c r="E1" s="63"/>
      <c r="F1" s="63"/>
      <c r="G1" s="63"/>
      <c r="H1" s="63"/>
      <c r="I1" s="64"/>
      <c r="K1" s="10" t="s">
        <v>143</v>
      </c>
    </row>
    <row r="2" spans="1:13" ht="31.2" x14ac:dyDescent="0.3">
      <c r="A2" s="1" t="s">
        <v>4</v>
      </c>
      <c r="B2" s="1" t="s">
        <v>5</v>
      </c>
      <c r="C2" s="1" t="s">
        <v>6</v>
      </c>
      <c r="D2" s="1" t="s">
        <v>7</v>
      </c>
      <c r="E2" s="2" t="s">
        <v>8</v>
      </c>
      <c r="F2" s="2" t="s">
        <v>9</v>
      </c>
      <c r="G2" s="1" t="s">
        <v>10</v>
      </c>
      <c r="H2" s="2" t="s">
        <v>11</v>
      </c>
      <c r="I2" s="2" t="s">
        <v>12</v>
      </c>
      <c r="K2" s="11">
        <v>1</v>
      </c>
      <c r="L2" s="12" t="s">
        <v>357</v>
      </c>
    </row>
    <row r="3" spans="1:13" x14ac:dyDescent="0.3">
      <c r="A3" s="3">
        <v>1</v>
      </c>
      <c r="B3" s="4" t="s">
        <v>13</v>
      </c>
      <c r="C3" s="5" t="s">
        <v>14</v>
      </c>
      <c r="D3" s="6">
        <v>41600</v>
      </c>
      <c r="E3" s="7">
        <v>4163</v>
      </c>
      <c r="F3" s="8">
        <v>158074286</v>
      </c>
      <c r="G3" s="9">
        <v>41732</v>
      </c>
      <c r="H3" s="7">
        <v>4163</v>
      </c>
      <c r="I3" s="8">
        <v>424668047</v>
      </c>
      <c r="K3" s="11">
        <v>2</v>
      </c>
      <c r="L3" t="s">
        <v>360</v>
      </c>
    </row>
    <row r="4" spans="1:13" x14ac:dyDescent="0.3">
      <c r="A4" s="3">
        <v>2</v>
      </c>
      <c r="B4" s="4" t="s">
        <v>15</v>
      </c>
      <c r="C4" s="5" t="s">
        <v>16</v>
      </c>
      <c r="D4" s="6">
        <v>41397</v>
      </c>
      <c r="E4" s="7">
        <v>4253</v>
      </c>
      <c r="F4" s="8">
        <v>174144585</v>
      </c>
      <c r="G4" s="9">
        <v>41529</v>
      </c>
      <c r="H4" s="7">
        <v>4253</v>
      </c>
      <c r="I4" s="8">
        <v>409013994</v>
      </c>
      <c r="K4" s="11">
        <v>3</v>
      </c>
      <c r="L4" t="s">
        <v>358</v>
      </c>
    </row>
    <row r="5" spans="1:13" x14ac:dyDescent="0.3">
      <c r="A5" s="3">
        <v>3</v>
      </c>
      <c r="B5" s="4" t="s">
        <v>17</v>
      </c>
      <c r="C5" s="5" t="s">
        <v>16</v>
      </c>
      <c r="D5" s="6">
        <v>41600</v>
      </c>
      <c r="E5" s="7">
        <v>1</v>
      </c>
      <c r="F5" s="8">
        <v>243390</v>
      </c>
      <c r="G5" s="9">
        <v>41837</v>
      </c>
      <c r="H5" s="7">
        <v>3742</v>
      </c>
      <c r="I5" s="8">
        <v>400738009</v>
      </c>
      <c r="K5" s="11">
        <v>4</v>
      </c>
      <c r="L5" t="s">
        <v>359</v>
      </c>
    </row>
    <row r="6" spans="1:13" x14ac:dyDescent="0.3">
      <c r="A6" s="3">
        <v>4</v>
      </c>
      <c r="B6" s="4" t="s">
        <v>18</v>
      </c>
      <c r="C6" s="5" t="s">
        <v>19</v>
      </c>
      <c r="D6" s="6">
        <v>41458</v>
      </c>
      <c r="E6" s="7">
        <v>3997</v>
      </c>
      <c r="F6" s="8">
        <v>83517315</v>
      </c>
      <c r="G6" s="9">
        <v>41655</v>
      </c>
      <c r="H6" s="7">
        <v>4003</v>
      </c>
      <c r="I6" s="8">
        <v>368061265</v>
      </c>
      <c r="K6" s="11">
        <v>5</v>
      </c>
      <c r="L6" t="s">
        <v>361</v>
      </c>
    </row>
    <row r="7" spans="1:13" x14ac:dyDescent="0.3">
      <c r="A7" s="3">
        <v>5</v>
      </c>
      <c r="B7" s="4" t="s">
        <v>20</v>
      </c>
      <c r="C7" s="5" t="s">
        <v>21</v>
      </c>
      <c r="D7" s="6">
        <v>41439</v>
      </c>
      <c r="E7" s="7">
        <v>4207</v>
      </c>
      <c r="F7" s="8">
        <v>116619362</v>
      </c>
      <c r="G7" s="9">
        <v>41536</v>
      </c>
      <c r="H7" s="7">
        <v>4207</v>
      </c>
      <c r="I7" s="8">
        <v>291045518</v>
      </c>
      <c r="K7" s="11">
        <v>6</v>
      </c>
      <c r="L7" t="s">
        <v>362</v>
      </c>
    </row>
    <row r="8" spans="1:13" x14ac:dyDescent="0.3">
      <c r="A8" s="3">
        <v>6</v>
      </c>
      <c r="B8" s="4" t="s">
        <v>22</v>
      </c>
      <c r="C8" s="5" t="s">
        <v>21</v>
      </c>
      <c r="D8" s="6">
        <v>41551</v>
      </c>
      <c r="E8" s="7">
        <v>3575</v>
      </c>
      <c r="F8" s="8">
        <v>55785112</v>
      </c>
      <c r="G8" s="9">
        <v>41767</v>
      </c>
      <c r="H8" s="7">
        <v>3820</v>
      </c>
      <c r="I8" s="8">
        <v>274092705</v>
      </c>
      <c r="K8" s="11"/>
      <c r="L8" s="13" t="s">
        <v>363</v>
      </c>
    </row>
    <row r="9" spans="1:13" x14ac:dyDescent="0.3">
      <c r="A9" s="3">
        <v>7</v>
      </c>
      <c r="B9" s="4" t="s">
        <v>23</v>
      </c>
      <c r="C9" s="5" t="s">
        <v>16</v>
      </c>
      <c r="D9" s="6">
        <v>41446</v>
      </c>
      <c r="E9" s="7">
        <v>4004</v>
      </c>
      <c r="F9" s="8">
        <v>82429469</v>
      </c>
      <c r="G9" s="9">
        <v>41627</v>
      </c>
      <c r="H9" s="7">
        <v>4004</v>
      </c>
      <c r="I9" s="8">
        <v>268492764</v>
      </c>
      <c r="K9" s="11"/>
      <c r="L9" s="13" t="s">
        <v>364</v>
      </c>
    </row>
    <row r="10" spans="1:13" x14ac:dyDescent="0.3">
      <c r="A10" s="3">
        <v>8</v>
      </c>
      <c r="B10" s="4" t="s">
        <v>24</v>
      </c>
      <c r="C10" s="5" t="s">
        <v>21</v>
      </c>
      <c r="D10" s="6">
        <v>41621</v>
      </c>
      <c r="E10" s="7">
        <v>3903</v>
      </c>
      <c r="F10" s="8">
        <v>73645197</v>
      </c>
      <c r="G10" s="9">
        <v>41746</v>
      </c>
      <c r="H10" s="7">
        <v>3928</v>
      </c>
      <c r="I10" s="8">
        <v>258366855</v>
      </c>
      <c r="L10" s="13" t="s">
        <v>365</v>
      </c>
    </row>
    <row r="11" spans="1:13" x14ac:dyDescent="0.3">
      <c r="A11" s="3">
        <v>9</v>
      </c>
      <c r="B11" s="4" t="s">
        <v>25</v>
      </c>
      <c r="C11" s="5" t="s">
        <v>19</v>
      </c>
      <c r="D11" s="6">
        <v>41418</v>
      </c>
      <c r="E11" s="7">
        <v>3658</v>
      </c>
      <c r="F11" s="8">
        <v>97375245</v>
      </c>
      <c r="G11" s="9">
        <v>41522</v>
      </c>
      <c r="H11" s="7">
        <v>3771</v>
      </c>
      <c r="I11" s="8">
        <v>238679850</v>
      </c>
      <c r="K11" s="11">
        <v>7</v>
      </c>
      <c r="L11" t="s">
        <v>366</v>
      </c>
    </row>
    <row r="12" spans="1:13" x14ac:dyDescent="0.3">
      <c r="A12" s="3">
        <v>10</v>
      </c>
      <c r="B12" s="4" t="s">
        <v>26</v>
      </c>
      <c r="C12" s="5" t="s">
        <v>16</v>
      </c>
      <c r="D12" s="6">
        <v>41341</v>
      </c>
      <c r="E12" s="7">
        <v>3912</v>
      </c>
      <c r="F12" s="8">
        <v>79110453</v>
      </c>
      <c r="G12" s="9">
        <v>41473</v>
      </c>
      <c r="H12" s="7">
        <v>3912</v>
      </c>
      <c r="I12" s="8">
        <v>234911825</v>
      </c>
      <c r="L12" s="50" t="s">
        <v>367</v>
      </c>
      <c r="M12" s="50" t="s">
        <v>368</v>
      </c>
    </row>
    <row r="13" spans="1:13" x14ac:dyDescent="0.3">
      <c r="A13" s="3">
        <v>11</v>
      </c>
      <c r="B13" s="4" t="s">
        <v>27</v>
      </c>
      <c r="C13" s="5" t="s">
        <v>28</v>
      </c>
      <c r="D13" s="6">
        <v>41410</v>
      </c>
      <c r="E13" s="7">
        <v>3868</v>
      </c>
      <c r="F13" s="8">
        <v>70165559</v>
      </c>
      <c r="G13" s="9">
        <v>41529</v>
      </c>
      <c r="H13" s="7">
        <v>3907</v>
      </c>
      <c r="I13" s="8">
        <v>228778661</v>
      </c>
      <c r="L13" s="51" t="s">
        <v>369</v>
      </c>
      <c r="M13" s="51"/>
    </row>
    <row r="14" spans="1:13" x14ac:dyDescent="0.3">
      <c r="A14" s="3">
        <v>12</v>
      </c>
      <c r="B14" s="4" t="s">
        <v>29</v>
      </c>
      <c r="C14" s="5" t="s">
        <v>16</v>
      </c>
      <c r="D14" s="6">
        <v>41586</v>
      </c>
      <c r="E14" s="7">
        <v>3841</v>
      </c>
      <c r="F14" s="8">
        <v>85737841</v>
      </c>
      <c r="G14" s="9">
        <v>41746</v>
      </c>
      <c r="H14" s="7">
        <v>3841</v>
      </c>
      <c r="I14" s="8">
        <v>206362140</v>
      </c>
      <c r="L14" s="51" t="s">
        <v>370</v>
      </c>
      <c r="M14" s="51" t="s">
        <v>371</v>
      </c>
    </row>
    <row r="15" spans="1:13" x14ac:dyDescent="0.3">
      <c r="A15" s="3">
        <v>13</v>
      </c>
      <c r="B15" s="4" t="s">
        <v>30</v>
      </c>
      <c r="C15" s="5" t="s">
        <v>28</v>
      </c>
      <c r="D15" s="6">
        <v>41446</v>
      </c>
      <c r="E15" s="7">
        <v>3607</v>
      </c>
      <c r="F15" s="8">
        <v>66411834</v>
      </c>
      <c r="G15" s="9">
        <v>41557</v>
      </c>
      <c r="H15" s="7">
        <v>3607</v>
      </c>
      <c r="I15" s="8">
        <v>202359711</v>
      </c>
      <c r="L15" s="51" t="s">
        <v>372</v>
      </c>
      <c r="M15" s="51"/>
    </row>
    <row r="16" spans="1:13" x14ac:dyDescent="0.3">
      <c r="A16" s="3">
        <v>14</v>
      </c>
      <c r="B16" s="4" t="s">
        <v>31</v>
      </c>
      <c r="C16" s="5" t="s">
        <v>32</v>
      </c>
      <c r="D16" s="6">
        <v>41355</v>
      </c>
      <c r="E16" s="7">
        <v>4046</v>
      </c>
      <c r="F16" s="8">
        <v>43639736</v>
      </c>
      <c r="G16" s="9">
        <v>41536</v>
      </c>
      <c r="H16" s="7">
        <v>4065</v>
      </c>
      <c r="I16" s="8">
        <v>187168425</v>
      </c>
      <c r="L16" s="51" t="s">
        <v>373</v>
      </c>
      <c r="M16" s="51"/>
    </row>
    <row r="17" spans="1:13" ht="31.2" x14ac:dyDescent="0.3">
      <c r="A17" s="3">
        <v>15</v>
      </c>
      <c r="B17" s="4" t="s">
        <v>33</v>
      </c>
      <c r="C17" s="5" t="s">
        <v>32</v>
      </c>
      <c r="D17" s="6">
        <v>41453</v>
      </c>
      <c r="E17" s="7">
        <v>3181</v>
      </c>
      <c r="F17" s="8">
        <v>39115043</v>
      </c>
      <c r="G17" s="9">
        <v>41620</v>
      </c>
      <c r="H17" s="7">
        <v>3184</v>
      </c>
      <c r="I17" s="8">
        <v>159582188</v>
      </c>
      <c r="L17" s="51" t="s">
        <v>374</v>
      </c>
      <c r="M17" s="51" t="s">
        <v>375</v>
      </c>
    </row>
    <row r="18" spans="1:13" x14ac:dyDescent="0.3">
      <c r="A18" s="3">
        <v>16</v>
      </c>
      <c r="B18" s="4" t="s">
        <v>34</v>
      </c>
      <c r="C18" s="5" t="s">
        <v>21</v>
      </c>
      <c r="D18" s="6">
        <v>41493</v>
      </c>
      <c r="E18" s="7">
        <v>3260</v>
      </c>
      <c r="F18" s="8">
        <v>26419396</v>
      </c>
      <c r="G18" s="9">
        <v>41613</v>
      </c>
      <c r="H18" s="7">
        <v>3445</v>
      </c>
      <c r="I18" s="8">
        <v>150394119</v>
      </c>
      <c r="L18" s="51" t="s">
        <v>376</v>
      </c>
      <c r="M18" s="51" t="s">
        <v>377</v>
      </c>
    </row>
    <row r="19" spans="1:13" x14ac:dyDescent="0.3">
      <c r="A19" s="3">
        <v>17</v>
      </c>
      <c r="B19" s="4" t="s">
        <v>35</v>
      </c>
      <c r="C19" s="5" t="s">
        <v>36</v>
      </c>
      <c r="D19" s="6">
        <v>41621</v>
      </c>
      <c r="E19" s="7">
        <v>6</v>
      </c>
      <c r="F19" s="8">
        <v>740455</v>
      </c>
      <c r="G19" s="9">
        <v>41735</v>
      </c>
      <c r="H19" s="7">
        <v>2629</v>
      </c>
      <c r="I19" s="8">
        <v>150117807</v>
      </c>
      <c r="L19" s="51" t="s">
        <v>378</v>
      </c>
      <c r="M19" s="51" t="s">
        <v>379</v>
      </c>
    </row>
    <row r="20" spans="1:13" x14ac:dyDescent="0.3">
      <c r="A20" s="3">
        <v>18</v>
      </c>
      <c r="B20" s="4" t="s">
        <v>37</v>
      </c>
      <c r="C20" s="5" t="s">
        <v>21</v>
      </c>
      <c r="D20" s="6">
        <v>41404</v>
      </c>
      <c r="E20" s="7">
        <v>3535</v>
      </c>
      <c r="F20" s="8">
        <v>50085185</v>
      </c>
      <c r="G20" s="9">
        <v>41508</v>
      </c>
      <c r="H20" s="7">
        <v>3550</v>
      </c>
      <c r="I20" s="8">
        <v>144840419</v>
      </c>
      <c r="L20" s="51" t="s">
        <v>380</v>
      </c>
      <c r="M20" s="51" t="s">
        <v>381</v>
      </c>
    </row>
    <row r="21" spans="1:13" x14ac:dyDescent="0.3">
      <c r="A21" s="3">
        <v>19</v>
      </c>
      <c r="B21" s="4" t="s">
        <v>38</v>
      </c>
      <c r="C21" s="5" t="s">
        <v>21</v>
      </c>
      <c r="D21" s="6">
        <v>41474</v>
      </c>
      <c r="E21" s="7">
        <v>2903</v>
      </c>
      <c r="F21" s="8">
        <v>41855326</v>
      </c>
      <c r="G21" s="9">
        <v>41578</v>
      </c>
      <c r="H21" s="7">
        <v>3115</v>
      </c>
      <c r="I21" s="8">
        <v>137400141</v>
      </c>
      <c r="L21" s="51" t="s">
        <v>382</v>
      </c>
      <c r="M21" s="51" t="s">
        <v>383</v>
      </c>
    </row>
    <row r="22" spans="1:13" x14ac:dyDescent="0.3">
      <c r="A22" s="3">
        <v>20</v>
      </c>
      <c r="B22" s="4" t="s">
        <v>39</v>
      </c>
      <c r="C22" s="5" t="s">
        <v>19</v>
      </c>
      <c r="D22" s="6">
        <v>41313</v>
      </c>
      <c r="E22" s="7">
        <v>3141</v>
      </c>
      <c r="F22" s="8">
        <v>34551025</v>
      </c>
      <c r="G22" s="9">
        <v>41431</v>
      </c>
      <c r="H22" s="7">
        <v>3230</v>
      </c>
      <c r="I22" s="8">
        <v>134506920</v>
      </c>
      <c r="L22" s="51" t="s">
        <v>384</v>
      </c>
      <c r="M22" s="51" t="s">
        <v>385</v>
      </c>
    </row>
    <row r="23" spans="1:13" x14ac:dyDescent="0.3">
      <c r="A23" s="3">
        <v>21</v>
      </c>
      <c r="B23" s="4" t="s">
        <v>40</v>
      </c>
      <c r="C23" s="5" t="s">
        <v>36</v>
      </c>
      <c r="D23" s="6">
        <v>41467</v>
      </c>
      <c r="E23" s="7">
        <v>3491</v>
      </c>
      <c r="F23" s="8">
        <v>41508572</v>
      </c>
      <c r="G23" s="9">
        <v>41595</v>
      </c>
      <c r="H23" s="7">
        <v>3491</v>
      </c>
      <c r="I23" s="8">
        <v>133668525</v>
      </c>
      <c r="L23" s="51" t="s">
        <v>386</v>
      </c>
      <c r="M23" s="51" t="s">
        <v>387</v>
      </c>
    </row>
    <row r="24" spans="1:13" x14ac:dyDescent="0.3">
      <c r="A24" s="3">
        <v>22</v>
      </c>
      <c r="B24" s="4" t="s">
        <v>41</v>
      </c>
      <c r="C24" s="5" t="s">
        <v>32</v>
      </c>
      <c r="D24" s="6">
        <v>41481</v>
      </c>
      <c r="E24" s="7">
        <v>3924</v>
      </c>
      <c r="F24" s="8">
        <v>53113752</v>
      </c>
      <c r="G24" s="9">
        <v>41613</v>
      </c>
      <c r="H24" s="7">
        <v>3924</v>
      </c>
      <c r="I24" s="8">
        <v>132556852</v>
      </c>
      <c r="L24" s="51" t="s">
        <v>388</v>
      </c>
      <c r="M24" s="51" t="s">
        <v>389</v>
      </c>
    </row>
    <row r="25" spans="1:13" x14ac:dyDescent="0.3">
      <c r="A25" s="3">
        <v>23</v>
      </c>
      <c r="B25" s="4" t="s">
        <v>42</v>
      </c>
      <c r="C25" s="5" t="s">
        <v>28</v>
      </c>
      <c r="D25" s="6">
        <v>41626</v>
      </c>
      <c r="E25" s="7">
        <v>3507</v>
      </c>
      <c r="F25" s="8">
        <v>26232425</v>
      </c>
      <c r="G25" s="9">
        <v>41690</v>
      </c>
      <c r="H25" s="7">
        <v>3507</v>
      </c>
      <c r="I25" s="8">
        <v>125168368</v>
      </c>
      <c r="L25" s="51" t="s">
        <v>390</v>
      </c>
      <c r="M25" s="51" t="s">
        <v>391</v>
      </c>
    </row>
    <row r="26" spans="1:13" x14ac:dyDescent="0.3">
      <c r="A26" s="3">
        <v>24</v>
      </c>
      <c r="B26" s="4" t="s">
        <v>43</v>
      </c>
      <c r="C26" s="5" t="s">
        <v>19</v>
      </c>
      <c r="D26" s="6">
        <v>41633</v>
      </c>
      <c r="E26" s="7">
        <v>2</v>
      </c>
      <c r="F26" s="8">
        <v>90872</v>
      </c>
      <c r="G26" s="9">
        <v>41739</v>
      </c>
      <c r="H26" s="7">
        <v>3285</v>
      </c>
      <c r="I26" s="8">
        <v>125095601</v>
      </c>
      <c r="L26" s="51" t="s">
        <v>392</v>
      </c>
      <c r="M26" s="51"/>
    </row>
    <row r="27" spans="1:13" x14ac:dyDescent="0.3">
      <c r="A27" s="3">
        <v>25</v>
      </c>
      <c r="B27" s="4" t="s">
        <v>44</v>
      </c>
      <c r="C27" s="5" t="s">
        <v>28</v>
      </c>
      <c r="D27" s="6">
        <v>41361</v>
      </c>
      <c r="E27" s="7">
        <v>3719</v>
      </c>
      <c r="F27" s="8">
        <v>40501814</v>
      </c>
      <c r="G27" s="9">
        <v>41473</v>
      </c>
      <c r="H27" s="7">
        <v>3734</v>
      </c>
      <c r="I27" s="8">
        <v>122523060</v>
      </c>
      <c r="L27" s="51" t="s">
        <v>393</v>
      </c>
      <c r="M27" s="51"/>
    </row>
    <row r="28" spans="1:13" x14ac:dyDescent="0.3">
      <c r="A28" s="3">
        <v>26</v>
      </c>
      <c r="B28" s="4" t="s">
        <v>45</v>
      </c>
      <c r="C28" s="5" t="s">
        <v>36</v>
      </c>
      <c r="D28" s="6">
        <v>41544</v>
      </c>
      <c r="E28" s="7">
        <v>4001</v>
      </c>
      <c r="F28" s="8">
        <v>34017930</v>
      </c>
      <c r="G28" s="9">
        <v>41714</v>
      </c>
      <c r="H28" s="7">
        <v>4001</v>
      </c>
      <c r="I28" s="8">
        <v>119793567</v>
      </c>
      <c r="L28" s="51" t="s">
        <v>394</v>
      </c>
      <c r="M28" s="51" t="s">
        <v>395</v>
      </c>
    </row>
    <row r="29" spans="1:13" x14ac:dyDescent="0.3">
      <c r="A29" s="3">
        <v>27</v>
      </c>
      <c r="B29" s="4" t="s">
        <v>46</v>
      </c>
      <c r="C29" s="5" t="s">
        <v>47</v>
      </c>
      <c r="D29" s="6">
        <v>41425</v>
      </c>
      <c r="E29" s="7">
        <v>2925</v>
      </c>
      <c r="F29" s="8">
        <v>29350389</v>
      </c>
      <c r="G29" s="9">
        <v>41543</v>
      </c>
      <c r="H29" s="7">
        <v>3082</v>
      </c>
      <c r="I29" s="8">
        <v>117723989</v>
      </c>
      <c r="L29" s="51" t="s">
        <v>396</v>
      </c>
      <c r="M29" s="51" t="s">
        <v>397</v>
      </c>
    </row>
    <row r="30" spans="1:13" x14ac:dyDescent="0.3">
      <c r="A30" s="3">
        <v>28</v>
      </c>
      <c r="B30" s="4" t="s">
        <v>48</v>
      </c>
      <c r="C30" s="5" t="s">
        <v>28</v>
      </c>
      <c r="D30" s="6">
        <v>41633</v>
      </c>
      <c r="E30" s="7">
        <v>2537</v>
      </c>
      <c r="F30" s="8">
        <v>18361578</v>
      </c>
      <c r="G30" s="9">
        <v>41732</v>
      </c>
      <c r="H30" s="7">
        <v>2557</v>
      </c>
      <c r="I30" s="8">
        <v>116900694</v>
      </c>
      <c r="L30" s="51" t="s">
        <v>398</v>
      </c>
      <c r="M30" s="51" t="s">
        <v>399</v>
      </c>
    </row>
    <row r="31" spans="1:13" x14ac:dyDescent="0.3">
      <c r="A31" s="3">
        <v>29</v>
      </c>
      <c r="B31" s="4" t="s">
        <v>49</v>
      </c>
      <c r="C31" s="5" t="s">
        <v>50</v>
      </c>
      <c r="D31" s="6">
        <v>41502</v>
      </c>
      <c r="E31" s="7">
        <v>2933</v>
      </c>
      <c r="F31" s="8">
        <v>24637312</v>
      </c>
      <c r="G31" s="9">
        <v>41683</v>
      </c>
      <c r="H31" s="7">
        <v>3330</v>
      </c>
      <c r="I31" s="8">
        <v>116632095</v>
      </c>
      <c r="L31" s="51" t="s">
        <v>400</v>
      </c>
      <c r="M31" s="51" t="s">
        <v>401</v>
      </c>
    </row>
    <row r="32" spans="1:13" ht="78" x14ac:dyDescent="0.3">
      <c r="A32" s="3">
        <v>30</v>
      </c>
      <c r="B32" s="4" t="s">
        <v>51</v>
      </c>
      <c r="C32" s="5" t="s">
        <v>21</v>
      </c>
      <c r="D32" s="6">
        <v>41417</v>
      </c>
      <c r="E32" s="7">
        <v>3555</v>
      </c>
      <c r="F32" s="8">
        <v>41671198</v>
      </c>
      <c r="G32" s="9">
        <v>41501</v>
      </c>
      <c r="H32" s="7">
        <v>3565</v>
      </c>
      <c r="I32" s="8">
        <v>112200072</v>
      </c>
      <c r="L32" s="51" t="s">
        <v>402</v>
      </c>
      <c r="M32" s="51" t="s">
        <v>403</v>
      </c>
    </row>
    <row r="33" spans="1:13" ht="62.4" x14ac:dyDescent="0.3">
      <c r="A33" s="3">
        <v>31</v>
      </c>
      <c r="B33" s="4" t="s">
        <v>52</v>
      </c>
      <c r="C33" s="5" t="s">
        <v>32</v>
      </c>
      <c r="D33" s="6">
        <v>41418</v>
      </c>
      <c r="E33" s="7">
        <v>3882</v>
      </c>
      <c r="F33" s="8">
        <v>33531068</v>
      </c>
      <c r="G33" s="9">
        <v>41536</v>
      </c>
      <c r="H33" s="7">
        <v>3894</v>
      </c>
      <c r="I33" s="8">
        <v>107518682</v>
      </c>
      <c r="L33" s="51" t="s">
        <v>404</v>
      </c>
      <c r="M33" s="51" t="s">
        <v>405</v>
      </c>
    </row>
    <row r="34" spans="1:13" ht="46.8" x14ac:dyDescent="0.3">
      <c r="A34" s="3">
        <v>32</v>
      </c>
      <c r="B34" s="4" t="s">
        <v>53</v>
      </c>
      <c r="C34" s="5" t="s">
        <v>36</v>
      </c>
      <c r="D34" s="6">
        <v>41558</v>
      </c>
      <c r="E34" s="7">
        <v>3020</v>
      </c>
      <c r="F34" s="8">
        <v>25718314</v>
      </c>
      <c r="G34" s="9">
        <v>41700</v>
      </c>
      <c r="H34" s="7">
        <v>3143</v>
      </c>
      <c r="I34" s="8">
        <v>107100855</v>
      </c>
      <c r="L34" s="51" t="s">
        <v>406</v>
      </c>
      <c r="M34" s="51" t="s">
        <v>407</v>
      </c>
    </row>
    <row r="35" spans="1:13" x14ac:dyDescent="0.3">
      <c r="A35" s="3">
        <v>33</v>
      </c>
      <c r="B35" s="4" t="s">
        <v>54</v>
      </c>
      <c r="C35" s="5" t="s">
        <v>28</v>
      </c>
      <c r="D35" s="6">
        <v>41572</v>
      </c>
      <c r="E35" s="7">
        <v>3336</v>
      </c>
      <c r="F35" s="8">
        <v>32055177</v>
      </c>
      <c r="G35" s="9">
        <v>41662</v>
      </c>
      <c r="H35" s="7">
        <v>3345</v>
      </c>
      <c r="I35" s="8">
        <v>102003019</v>
      </c>
      <c r="L35" s="51" t="s">
        <v>408</v>
      </c>
      <c r="M35" s="51"/>
    </row>
    <row r="36" spans="1:13" x14ac:dyDescent="0.3">
      <c r="A36" s="3">
        <v>34</v>
      </c>
      <c r="B36" s="4" t="s">
        <v>55</v>
      </c>
      <c r="C36" s="5" t="s">
        <v>21</v>
      </c>
      <c r="D36" s="6">
        <v>41467</v>
      </c>
      <c r="E36" s="7">
        <v>3275</v>
      </c>
      <c r="F36" s="8">
        <v>37285325</v>
      </c>
      <c r="G36" s="9">
        <v>41564</v>
      </c>
      <c r="H36" s="7">
        <v>3285</v>
      </c>
      <c r="I36" s="8">
        <v>101802906</v>
      </c>
      <c r="L36" s="51" t="s">
        <v>409</v>
      </c>
      <c r="M36" s="51" t="s">
        <v>410</v>
      </c>
    </row>
    <row r="37" spans="1:13" x14ac:dyDescent="0.3">
      <c r="A37" s="3">
        <v>35</v>
      </c>
      <c r="B37" s="4" t="s">
        <v>56</v>
      </c>
      <c r="C37" s="5" t="s">
        <v>36</v>
      </c>
      <c r="D37" s="6">
        <v>41437</v>
      </c>
      <c r="E37" s="7">
        <v>3055</v>
      </c>
      <c r="F37" s="8">
        <v>20719162</v>
      </c>
      <c r="G37" s="9">
        <v>41553</v>
      </c>
      <c r="H37" s="7">
        <v>3055</v>
      </c>
      <c r="I37" s="8">
        <v>101470202</v>
      </c>
      <c r="L37" s="51" t="s">
        <v>411</v>
      </c>
      <c r="M37" s="51"/>
    </row>
    <row r="38" spans="1:13" x14ac:dyDescent="0.3">
      <c r="A38" s="3">
        <v>36</v>
      </c>
      <c r="B38" s="4" t="s">
        <v>57</v>
      </c>
      <c r="C38" s="5" t="s">
        <v>58</v>
      </c>
      <c r="D38" s="6">
        <v>41355</v>
      </c>
      <c r="E38" s="7">
        <v>3098</v>
      </c>
      <c r="F38" s="8">
        <v>30373794</v>
      </c>
      <c r="G38" s="9">
        <v>41466</v>
      </c>
      <c r="H38" s="7">
        <v>3106</v>
      </c>
      <c r="I38" s="8">
        <v>98925640</v>
      </c>
      <c r="L38" s="52" t="s">
        <v>412</v>
      </c>
      <c r="M38" s="51"/>
    </row>
    <row r="39" spans="1:13" x14ac:dyDescent="0.3">
      <c r="A39" s="3">
        <v>37</v>
      </c>
      <c r="B39" s="4">
        <v>42</v>
      </c>
      <c r="C39" s="5" t="s">
        <v>21</v>
      </c>
      <c r="D39" s="6">
        <v>41376</v>
      </c>
      <c r="E39" s="7">
        <v>3003</v>
      </c>
      <c r="F39" s="8">
        <v>27487144</v>
      </c>
      <c r="G39" s="9">
        <v>41480</v>
      </c>
      <c r="H39" s="7">
        <v>3405</v>
      </c>
      <c r="I39" s="8">
        <v>95020213</v>
      </c>
      <c r="L39" s="52" t="s">
        <v>413</v>
      </c>
      <c r="M39" s="51"/>
    </row>
    <row r="40" spans="1:13" x14ac:dyDescent="0.3">
      <c r="A40" s="3">
        <v>38</v>
      </c>
      <c r="B40" s="4" t="s">
        <v>59</v>
      </c>
      <c r="C40" s="5" t="s">
        <v>60</v>
      </c>
      <c r="D40" s="6">
        <v>41495</v>
      </c>
      <c r="E40" s="7">
        <v>3284</v>
      </c>
      <c r="F40" s="8">
        <v>29807393</v>
      </c>
      <c r="G40" s="9">
        <v>41602</v>
      </c>
      <c r="H40" s="7">
        <v>3284</v>
      </c>
      <c r="I40" s="8">
        <v>93050117</v>
      </c>
      <c r="L40" s="52" t="s">
        <v>414</v>
      </c>
      <c r="M40" s="51"/>
    </row>
    <row r="41" spans="1:13" ht="31.2" x14ac:dyDescent="0.3">
      <c r="A41" s="3">
        <v>39</v>
      </c>
      <c r="B41" s="4" t="s">
        <v>61</v>
      </c>
      <c r="C41" s="5" t="s">
        <v>16</v>
      </c>
      <c r="D41" s="6">
        <v>41495</v>
      </c>
      <c r="E41" s="7">
        <v>3702</v>
      </c>
      <c r="F41" s="8">
        <v>22232291</v>
      </c>
      <c r="G41" s="9">
        <v>41627</v>
      </c>
      <c r="H41" s="7">
        <v>3716</v>
      </c>
      <c r="I41" s="8">
        <v>90288712</v>
      </c>
      <c r="L41" s="52" t="s">
        <v>415</v>
      </c>
      <c r="M41" s="51"/>
    </row>
    <row r="42" spans="1:13" x14ac:dyDescent="0.3">
      <c r="A42" s="3">
        <v>40</v>
      </c>
      <c r="B42" s="4" t="s">
        <v>62</v>
      </c>
      <c r="C42" s="5" t="s">
        <v>16</v>
      </c>
      <c r="D42" s="6">
        <v>41458</v>
      </c>
      <c r="E42" s="7">
        <v>3904</v>
      </c>
      <c r="F42" s="8">
        <v>29210849</v>
      </c>
      <c r="G42" s="9">
        <v>41557</v>
      </c>
      <c r="H42" s="7">
        <v>3904</v>
      </c>
      <c r="I42" s="8">
        <v>89302115</v>
      </c>
      <c r="L42" s="51" t="s">
        <v>416</v>
      </c>
      <c r="M42" s="51" t="s">
        <v>417</v>
      </c>
    </row>
    <row r="43" spans="1:13" x14ac:dyDescent="0.3">
      <c r="A43" s="3">
        <v>41</v>
      </c>
      <c r="B43" s="4" t="s">
        <v>63</v>
      </c>
      <c r="C43" s="5" t="s">
        <v>19</v>
      </c>
      <c r="D43" s="6">
        <v>41383</v>
      </c>
      <c r="E43" s="7">
        <v>3783</v>
      </c>
      <c r="F43" s="8">
        <v>37054485</v>
      </c>
      <c r="G43" s="9">
        <v>41452</v>
      </c>
      <c r="H43" s="7">
        <v>3792</v>
      </c>
      <c r="I43" s="8">
        <v>89107235</v>
      </c>
    </row>
    <row r="44" spans="1:13" x14ac:dyDescent="0.3">
      <c r="A44" s="3">
        <v>42</v>
      </c>
      <c r="B44" s="4" t="s">
        <v>64</v>
      </c>
      <c r="C44" s="5" t="s">
        <v>58</v>
      </c>
      <c r="D44" s="6">
        <v>41530</v>
      </c>
      <c r="E44" s="7">
        <v>3049</v>
      </c>
      <c r="F44" s="8">
        <v>40272103</v>
      </c>
      <c r="G44" s="9">
        <v>41627</v>
      </c>
      <c r="H44" s="7">
        <v>3155</v>
      </c>
      <c r="I44" s="8">
        <v>83586447</v>
      </c>
    </row>
    <row r="45" spans="1:13" x14ac:dyDescent="0.3">
      <c r="A45" s="3">
        <v>43</v>
      </c>
      <c r="B45" s="4" t="s">
        <v>65</v>
      </c>
      <c r="C45" s="5" t="s">
        <v>16</v>
      </c>
      <c r="D45" s="6">
        <v>41621</v>
      </c>
      <c r="E45" s="7">
        <v>15</v>
      </c>
      <c r="F45" s="8">
        <v>413373</v>
      </c>
      <c r="G45" s="9">
        <v>41746</v>
      </c>
      <c r="H45" s="7">
        <v>2671</v>
      </c>
      <c r="I45" s="8">
        <v>83301580</v>
      </c>
    </row>
    <row r="46" spans="1:13" x14ac:dyDescent="0.3">
      <c r="A46" s="3">
        <v>44</v>
      </c>
      <c r="B46" s="4" t="s">
        <v>66</v>
      </c>
      <c r="C46" s="5" t="s">
        <v>32</v>
      </c>
      <c r="D46" s="6">
        <v>41472</v>
      </c>
      <c r="E46" s="7">
        <v>3806</v>
      </c>
      <c r="F46" s="8">
        <v>21312625</v>
      </c>
      <c r="G46" s="9">
        <v>41620</v>
      </c>
      <c r="H46" s="7">
        <v>3809</v>
      </c>
      <c r="I46" s="8">
        <v>83028128</v>
      </c>
    </row>
    <row r="47" spans="1:13" x14ac:dyDescent="0.3">
      <c r="A47" s="3">
        <v>45</v>
      </c>
      <c r="B47" s="4" t="s">
        <v>67</v>
      </c>
      <c r="C47" s="5" t="s">
        <v>19</v>
      </c>
      <c r="D47" s="6">
        <v>41488</v>
      </c>
      <c r="E47" s="7">
        <v>3025</v>
      </c>
      <c r="F47" s="8">
        <v>27059130</v>
      </c>
      <c r="G47" s="9">
        <v>41571</v>
      </c>
      <c r="H47" s="7">
        <v>3028</v>
      </c>
      <c r="I47" s="8">
        <v>75612460</v>
      </c>
    </row>
    <row r="48" spans="1:13"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s>
  <sheetData>
    <row r="1" spans="1:12" x14ac:dyDescent="0.3">
      <c r="A1" s="62" t="s">
        <v>3</v>
      </c>
      <c r="B1" s="63"/>
      <c r="C1" s="63"/>
      <c r="D1" s="63"/>
      <c r="E1" s="63"/>
      <c r="F1" s="63"/>
      <c r="G1" s="63"/>
      <c r="H1" s="63"/>
      <c r="I1" s="64"/>
      <c r="K1" s="10" t="s">
        <v>425</v>
      </c>
    </row>
    <row r="2" spans="1:12" ht="31.2" x14ac:dyDescent="0.3">
      <c r="A2" s="1" t="s">
        <v>4</v>
      </c>
      <c r="B2" s="1" t="s">
        <v>5</v>
      </c>
      <c r="C2" s="1" t="s">
        <v>6</v>
      </c>
      <c r="D2" s="1" t="s">
        <v>7</v>
      </c>
      <c r="E2" s="2" t="s">
        <v>8</v>
      </c>
      <c r="F2" s="2" t="s">
        <v>9</v>
      </c>
      <c r="G2" s="1" t="s">
        <v>10</v>
      </c>
      <c r="H2" s="2" t="s">
        <v>11</v>
      </c>
      <c r="I2" s="2" t="s">
        <v>12</v>
      </c>
      <c r="K2" s="11">
        <v>1</v>
      </c>
      <c r="L2" s="12" t="s">
        <v>421</v>
      </c>
    </row>
    <row r="3" spans="1:12" x14ac:dyDescent="0.3">
      <c r="A3" s="3">
        <v>1</v>
      </c>
      <c r="B3" s="4" t="s">
        <v>13</v>
      </c>
      <c r="C3" s="5" t="s">
        <v>14</v>
      </c>
      <c r="D3" s="6">
        <v>41600</v>
      </c>
      <c r="E3" s="7">
        <v>4163</v>
      </c>
      <c r="F3" s="8">
        <v>158074286</v>
      </c>
      <c r="G3" s="9">
        <v>41732</v>
      </c>
      <c r="H3" s="7">
        <v>4163</v>
      </c>
      <c r="I3" s="8">
        <v>424668047</v>
      </c>
      <c r="K3" s="11">
        <v>2</v>
      </c>
      <c r="L3" s="12" t="s">
        <v>420</v>
      </c>
    </row>
    <row r="4" spans="1:12" x14ac:dyDescent="0.3">
      <c r="A4" s="3">
        <v>2</v>
      </c>
      <c r="B4" s="4" t="s">
        <v>15</v>
      </c>
      <c r="C4" s="5" t="s">
        <v>16</v>
      </c>
      <c r="D4" s="6">
        <v>41397</v>
      </c>
      <c r="E4" s="7">
        <v>4253</v>
      </c>
      <c r="F4" s="8">
        <v>174144585</v>
      </c>
      <c r="G4" s="9">
        <v>41529</v>
      </c>
      <c r="H4" s="7">
        <v>4253</v>
      </c>
      <c r="I4" s="8">
        <v>409013994</v>
      </c>
      <c r="K4" s="11">
        <v>3</v>
      </c>
      <c r="L4" s="12" t="s">
        <v>418</v>
      </c>
    </row>
    <row r="5" spans="1:12" x14ac:dyDescent="0.3">
      <c r="A5" s="3">
        <v>3</v>
      </c>
      <c r="B5" s="4" t="s">
        <v>17</v>
      </c>
      <c r="C5" s="5" t="s">
        <v>16</v>
      </c>
      <c r="D5" s="6">
        <v>41600</v>
      </c>
      <c r="E5" s="7">
        <v>1</v>
      </c>
      <c r="F5" s="8">
        <v>243390</v>
      </c>
      <c r="G5" s="9">
        <v>41837</v>
      </c>
      <c r="H5" s="7">
        <v>3742</v>
      </c>
      <c r="I5" s="8">
        <v>400738009</v>
      </c>
      <c r="K5" s="11">
        <v>4</v>
      </c>
      <c r="L5" t="s">
        <v>422</v>
      </c>
    </row>
    <row r="6" spans="1:12" x14ac:dyDescent="0.3">
      <c r="A6" s="3">
        <v>4</v>
      </c>
      <c r="B6" s="4" t="s">
        <v>18</v>
      </c>
      <c r="C6" s="5" t="s">
        <v>19</v>
      </c>
      <c r="D6" s="6">
        <v>41458</v>
      </c>
      <c r="E6" s="7">
        <v>3997</v>
      </c>
      <c r="F6" s="8">
        <v>83517315</v>
      </c>
      <c r="G6" s="9">
        <v>41655</v>
      </c>
      <c r="H6" s="7">
        <v>4003</v>
      </c>
      <c r="I6" s="8">
        <v>368061265</v>
      </c>
      <c r="K6" s="11">
        <v>5</v>
      </c>
      <c r="L6" t="s">
        <v>419</v>
      </c>
    </row>
    <row r="7" spans="1:12" x14ac:dyDescent="0.3">
      <c r="A7" s="3">
        <v>5</v>
      </c>
      <c r="B7" s="4" t="s">
        <v>20</v>
      </c>
      <c r="C7" s="5" t="s">
        <v>21</v>
      </c>
      <c r="D7" s="6">
        <v>41439</v>
      </c>
      <c r="E7" s="7">
        <v>4207</v>
      </c>
      <c r="F7" s="8">
        <v>116619362</v>
      </c>
      <c r="G7" s="9">
        <v>41536</v>
      </c>
      <c r="H7" s="7">
        <v>4207</v>
      </c>
      <c r="I7" s="8">
        <v>291045518</v>
      </c>
      <c r="K7" s="11">
        <v>6</v>
      </c>
      <c r="L7" s="12" t="s">
        <v>423</v>
      </c>
    </row>
    <row r="8" spans="1:12" x14ac:dyDescent="0.3">
      <c r="A8" s="3">
        <v>6</v>
      </c>
      <c r="B8" s="4" t="s">
        <v>22</v>
      </c>
      <c r="C8" s="5" t="s">
        <v>21</v>
      </c>
      <c r="D8" s="6">
        <v>41551</v>
      </c>
      <c r="E8" s="7">
        <v>3575</v>
      </c>
      <c r="F8" s="8">
        <v>55785112</v>
      </c>
      <c r="G8" s="9">
        <v>41767</v>
      </c>
      <c r="H8" s="7">
        <v>3820</v>
      </c>
      <c r="I8" s="8">
        <v>274092705</v>
      </c>
      <c r="K8" s="11">
        <v>7</v>
      </c>
      <c r="L8" s="12" t="s">
        <v>424</v>
      </c>
    </row>
    <row r="9" spans="1:12" x14ac:dyDescent="0.3">
      <c r="A9" s="3">
        <v>7</v>
      </c>
      <c r="B9" s="4" t="s">
        <v>23</v>
      </c>
      <c r="C9" s="5" t="s">
        <v>16</v>
      </c>
      <c r="D9" s="6">
        <v>41446</v>
      </c>
      <c r="E9" s="7">
        <v>4004</v>
      </c>
      <c r="F9" s="8">
        <v>82429469</v>
      </c>
      <c r="G9" s="9">
        <v>41627</v>
      </c>
      <c r="H9" s="7">
        <v>4004</v>
      </c>
      <c r="I9" s="8">
        <v>268492764</v>
      </c>
      <c r="K9" s="11">
        <v>8</v>
      </c>
      <c r="L9" s="12" t="s">
        <v>447</v>
      </c>
    </row>
    <row r="10" spans="1:12" x14ac:dyDescent="0.3">
      <c r="A10" s="3">
        <v>8</v>
      </c>
      <c r="B10" s="4" t="s">
        <v>24</v>
      </c>
      <c r="C10" s="5" t="s">
        <v>21</v>
      </c>
      <c r="D10" s="6">
        <v>41621</v>
      </c>
      <c r="E10" s="7">
        <v>3903</v>
      </c>
      <c r="F10" s="8">
        <v>73645197</v>
      </c>
      <c r="G10" s="9">
        <v>41746</v>
      </c>
      <c r="H10" s="7">
        <v>3928</v>
      </c>
      <c r="I10" s="8">
        <v>258366855</v>
      </c>
      <c r="K10" s="11">
        <v>9</v>
      </c>
      <c r="L10" s="12" t="s">
        <v>490</v>
      </c>
    </row>
    <row r="11" spans="1:12" x14ac:dyDescent="0.3">
      <c r="A11" s="3">
        <v>9</v>
      </c>
      <c r="B11" s="4" t="s">
        <v>25</v>
      </c>
      <c r="C11" s="5" t="s">
        <v>19</v>
      </c>
      <c r="D11" s="6">
        <v>41418</v>
      </c>
      <c r="E11" s="7">
        <v>3658</v>
      </c>
      <c r="F11" s="8">
        <v>97375245</v>
      </c>
      <c r="G11" s="9">
        <v>41522</v>
      </c>
      <c r="H11" s="7">
        <v>3771</v>
      </c>
      <c r="I11" s="8">
        <v>238679850</v>
      </c>
      <c r="K11" s="11">
        <v>10</v>
      </c>
      <c r="L11" s="12" t="s">
        <v>480</v>
      </c>
    </row>
    <row r="12" spans="1:12" x14ac:dyDescent="0.3">
      <c r="A12" s="3">
        <v>10</v>
      </c>
      <c r="B12" s="4" t="s">
        <v>26</v>
      </c>
      <c r="C12" s="5" t="s">
        <v>16</v>
      </c>
      <c r="D12" s="6">
        <v>41341</v>
      </c>
      <c r="E12" s="7">
        <v>3912</v>
      </c>
      <c r="F12" s="8">
        <v>79110453</v>
      </c>
      <c r="G12" s="9">
        <v>41473</v>
      </c>
      <c r="H12" s="7">
        <v>3912</v>
      </c>
      <c r="I12" s="8">
        <v>234911825</v>
      </c>
      <c r="K12" s="11">
        <v>11</v>
      </c>
      <c r="L12" s="12" t="s">
        <v>483</v>
      </c>
    </row>
    <row r="13" spans="1:12" x14ac:dyDescent="0.3">
      <c r="A13" s="3">
        <v>11</v>
      </c>
      <c r="B13" s="4" t="s">
        <v>27</v>
      </c>
      <c r="C13" s="5" t="s">
        <v>28</v>
      </c>
      <c r="D13" s="6">
        <v>41410</v>
      </c>
      <c r="E13" s="7">
        <v>3868</v>
      </c>
      <c r="F13" s="8">
        <v>70165559</v>
      </c>
      <c r="G13" s="9">
        <v>41529</v>
      </c>
      <c r="H13" s="7">
        <v>3907</v>
      </c>
      <c r="I13" s="8">
        <v>228778661</v>
      </c>
    </row>
    <row r="14" spans="1:12" x14ac:dyDescent="0.3">
      <c r="A14" s="3">
        <v>12</v>
      </c>
      <c r="B14" s="4" t="s">
        <v>29</v>
      </c>
      <c r="C14" s="5" t="s">
        <v>16</v>
      </c>
      <c r="D14" s="6">
        <v>41586</v>
      </c>
      <c r="E14" s="7">
        <v>3841</v>
      </c>
      <c r="F14" s="8">
        <v>85737841</v>
      </c>
      <c r="G14" s="9">
        <v>41746</v>
      </c>
      <c r="H14" s="7">
        <v>3841</v>
      </c>
      <c r="I14" s="8">
        <v>206362140</v>
      </c>
    </row>
    <row r="15" spans="1:12" x14ac:dyDescent="0.3">
      <c r="A15" s="3">
        <v>13</v>
      </c>
      <c r="B15" s="4" t="s">
        <v>30</v>
      </c>
      <c r="C15" s="5" t="s">
        <v>28</v>
      </c>
      <c r="D15" s="6">
        <v>41446</v>
      </c>
      <c r="E15" s="7">
        <v>3607</v>
      </c>
      <c r="F15" s="8">
        <v>66411834</v>
      </c>
      <c r="G15" s="9">
        <v>41557</v>
      </c>
      <c r="H15" s="7">
        <v>3607</v>
      </c>
      <c r="I15" s="8">
        <v>202359711</v>
      </c>
    </row>
    <row r="16" spans="1:12" x14ac:dyDescent="0.3">
      <c r="A16" s="3">
        <v>14</v>
      </c>
      <c r="B16" s="4" t="s">
        <v>31</v>
      </c>
      <c r="C16" s="5" t="s">
        <v>32</v>
      </c>
      <c r="D16" s="6">
        <v>41355</v>
      </c>
      <c r="E16" s="7">
        <v>4046</v>
      </c>
      <c r="F16" s="8">
        <v>43639736</v>
      </c>
      <c r="G16" s="9">
        <v>41536</v>
      </c>
      <c r="H16" s="7">
        <v>4065</v>
      </c>
      <c r="I16" s="8">
        <v>187168425</v>
      </c>
    </row>
    <row r="17" spans="1:9" x14ac:dyDescent="0.3">
      <c r="A17" s="3">
        <v>15</v>
      </c>
      <c r="B17" s="4" t="s">
        <v>33</v>
      </c>
      <c r="C17" s="5" t="s">
        <v>32</v>
      </c>
      <c r="D17" s="6">
        <v>41453</v>
      </c>
      <c r="E17" s="7">
        <v>3181</v>
      </c>
      <c r="F17" s="8">
        <v>39115043</v>
      </c>
      <c r="G17" s="9">
        <v>41620</v>
      </c>
      <c r="H17" s="7">
        <v>3184</v>
      </c>
      <c r="I17" s="8">
        <v>159582188</v>
      </c>
    </row>
    <row r="18" spans="1:9" x14ac:dyDescent="0.3">
      <c r="A18" s="3">
        <v>16</v>
      </c>
      <c r="B18" s="4" t="s">
        <v>34</v>
      </c>
      <c r="C18" s="5" t="s">
        <v>21</v>
      </c>
      <c r="D18" s="6">
        <v>41493</v>
      </c>
      <c r="E18" s="7">
        <v>3260</v>
      </c>
      <c r="F18" s="8">
        <v>26419396</v>
      </c>
      <c r="G18" s="9">
        <v>41613</v>
      </c>
      <c r="H18" s="7">
        <v>3445</v>
      </c>
      <c r="I18" s="8">
        <v>150394119</v>
      </c>
    </row>
    <row r="19" spans="1:9" x14ac:dyDescent="0.3">
      <c r="A19" s="3">
        <v>17</v>
      </c>
      <c r="B19" s="4" t="s">
        <v>35</v>
      </c>
      <c r="C19" s="5" t="s">
        <v>36</v>
      </c>
      <c r="D19" s="6">
        <v>41621</v>
      </c>
      <c r="E19" s="7">
        <v>6</v>
      </c>
      <c r="F19" s="8">
        <v>740455</v>
      </c>
      <c r="G19" s="9">
        <v>41735</v>
      </c>
      <c r="H19" s="7">
        <v>2629</v>
      </c>
      <c r="I19" s="8">
        <v>150117807</v>
      </c>
    </row>
    <row r="20" spans="1:9" x14ac:dyDescent="0.3">
      <c r="A20" s="3">
        <v>18</v>
      </c>
      <c r="B20" s="4" t="s">
        <v>37</v>
      </c>
      <c r="C20" s="5" t="s">
        <v>21</v>
      </c>
      <c r="D20" s="6">
        <v>41404</v>
      </c>
      <c r="E20" s="7">
        <v>3535</v>
      </c>
      <c r="F20" s="8">
        <v>50085185</v>
      </c>
      <c r="G20" s="9">
        <v>41508</v>
      </c>
      <c r="H20" s="7">
        <v>3550</v>
      </c>
      <c r="I20" s="8">
        <v>144840419</v>
      </c>
    </row>
    <row r="21" spans="1:9" x14ac:dyDescent="0.3">
      <c r="A21" s="3">
        <v>19</v>
      </c>
      <c r="B21" s="4" t="s">
        <v>38</v>
      </c>
      <c r="C21" s="5" t="s">
        <v>21</v>
      </c>
      <c r="D21" s="6">
        <v>41474</v>
      </c>
      <c r="E21" s="7">
        <v>2903</v>
      </c>
      <c r="F21" s="8">
        <v>41855326</v>
      </c>
      <c r="G21" s="9">
        <v>41578</v>
      </c>
      <c r="H21" s="7">
        <v>3115</v>
      </c>
      <c r="I21" s="8">
        <v>137400141</v>
      </c>
    </row>
    <row r="22" spans="1:9" x14ac:dyDescent="0.3">
      <c r="A22" s="3">
        <v>20</v>
      </c>
      <c r="B22" s="4" t="s">
        <v>39</v>
      </c>
      <c r="C22" s="5" t="s">
        <v>19</v>
      </c>
      <c r="D22" s="6">
        <v>41313</v>
      </c>
      <c r="E22" s="7">
        <v>3141</v>
      </c>
      <c r="F22" s="8">
        <v>34551025</v>
      </c>
      <c r="G22" s="9">
        <v>41431</v>
      </c>
      <c r="H22" s="7">
        <v>3230</v>
      </c>
      <c r="I22" s="8">
        <v>134506920</v>
      </c>
    </row>
    <row r="23" spans="1:9" x14ac:dyDescent="0.3">
      <c r="A23" s="3">
        <v>21</v>
      </c>
      <c r="B23" s="4" t="s">
        <v>40</v>
      </c>
      <c r="C23" s="5" t="s">
        <v>36</v>
      </c>
      <c r="D23" s="6">
        <v>41467</v>
      </c>
      <c r="E23" s="7">
        <v>3491</v>
      </c>
      <c r="F23" s="8">
        <v>41508572</v>
      </c>
      <c r="G23" s="9">
        <v>41595</v>
      </c>
      <c r="H23" s="7">
        <v>3491</v>
      </c>
      <c r="I23" s="8">
        <v>133668525</v>
      </c>
    </row>
    <row r="24" spans="1:9" x14ac:dyDescent="0.3">
      <c r="A24" s="3">
        <v>22</v>
      </c>
      <c r="B24" s="4" t="s">
        <v>41</v>
      </c>
      <c r="C24" s="5" t="s">
        <v>32</v>
      </c>
      <c r="D24" s="6">
        <v>41481</v>
      </c>
      <c r="E24" s="7">
        <v>3924</v>
      </c>
      <c r="F24" s="8">
        <v>53113752</v>
      </c>
      <c r="G24" s="9">
        <v>41613</v>
      </c>
      <c r="H24" s="7">
        <v>3924</v>
      </c>
      <c r="I24" s="8">
        <v>132556852</v>
      </c>
    </row>
    <row r="25" spans="1:9" x14ac:dyDescent="0.3">
      <c r="A25" s="3">
        <v>23</v>
      </c>
      <c r="B25" s="4" t="s">
        <v>42</v>
      </c>
      <c r="C25" s="5" t="s">
        <v>28</v>
      </c>
      <c r="D25" s="6">
        <v>41626</v>
      </c>
      <c r="E25" s="7">
        <v>3507</v>
      </c>
      <c r="F25" s="8">
        <v>26232425</v>
      </c>
      <c r="G25" s="9">
        <v>41690</v>
      </c>
      <c r="H25" s="7">
        <v>3507</v>
      </c>
      <c r="I25" s="8">
        <v>125168368</v>
      </c>
    </row>
    <row r="26" spans="1:9" x14ac:dyDescent="0.3">
      <c r="A26" s="3">
        <v>24</v>
      </c>
      <c r="B26" s="4" t="s">
        <v>43</v>
      </c>
      <c r="C26" s="5" t="s">
        <v>19</v>
      </c>
      <c r="D26" s="6">
        <v>41633</v>
      </c>
      <c r="E26" s="7">
        <v>2</v>
      </c>
      <c r="F26" s="8">
        <v>90872</v>
      </c>
      <c r="G26" s="9">
        <v>41739</v>
      </c>
      <c r="H26" s="7">
        <v>3285</v>
      </c>
      <c r="I26" s="8">
        <v>125095601</v>
      </c>
    </row>
    <row r="27" spans="1:9" x14ac:dyDescent="0.3">
      <c r="A27" s="3">
        <v>25</v>
      </c>
      <c r="B27" s="4" t="s">
        <v>44</v>
      </c>
      <c r="C27" s="5" t="s">
        <v>28</v>
      </c>
      <c r="D27" s="6">
        <v>41361</v>
      </c>
      <c r="E27" s="7">
        <v>3719</v>
      </c>
      <c r="F27" s="8">
        <v>40501814</v>
      </c>
      <c r="G27" s="9">
        <v>41473</v>
      </c>
      <c r="H27" s="7">
        <v>3734</v>
      </c>
      <c r="I27" s="8">
        <v>122523060</v>
      </c>
    </row>
    <row r="28" spans="1:9" x14ac:dyDescent="0.3">
      <c r="A28" s="3">
        <v>26</v>
      </c>
      <c r="B28" s="4" t="s">
        <v>45</v>
      </c>
      <c r="C28" s="5" t="s">
        <v>36</v>
      </c>
      <c r="D28" s="6">
        <v>41544</v>
      </c>
      <c r="E28" s="7">
        <v>4001</v>
      </c>
      <c r="F28" s="8">
        <v>34017930</v>
      </c>
      <c r="G28" s="9">
        <v>41714</v>
      </c>
      <c r="H28" s="7">
        <v>4001</v>
      </c>
      <c r="I28" s="8">
        <v>119793567</v>
      </c>
    </row>
    <row r="29" spans="1:9" x14ac:dyDescent="0.3">
      <c r="A29" s="3">
        <v>27</v>
      </c>
      <c r="B29" s="4" t="s">
        <v>46</v>
      </c>
      <c r="C29" s="5" t="s">
        <v>47</v>
      </c>
      <c r="D29" s="6">
        <v>41425</v>
      </c>
      <c r="E29" s="7">
        <v>2925</v>
      </c>
      <c r="F29" s="8">
        <v>29350389</v>
      </c>
      <c r="G29" s="9">
        <v>41543</v>
      </c>
      <c r="H29" s="7">
        <v>3082</v>
      </c>
      <c r="I29" s="8">
        <v>117723989</v>
      </c>
    </row>
    <row r="30" spans="1:9" x14ac:dyDescent="0.3">
      <c r="A30" s="3">
        <v>28</v>
      </c>
      <c r="B30" s="4" t="s">
        <v>48</v>
      </c>
      <c r="C30" s="5" t="s">
        <v>28</v>
      </c>
      <c r="D30" s="6">
        <v>41633</v>
      </c>
      <c r="E30" s="7">
        <v>2537</v>
      </c>
      <c r="F30" s="8">
        <v>18361578</v>
      </c>
      <c r="G30" s="9">
        <v>41732</v>
      </c>
      <c r="H30" s="7">
        <v>2557</v>
      </c>
      <c r="I30" s="8">
        <v>116900694</v>
      </c>
    </row>
    <row r="31" spans="1:9" x14ac:dyDescent="0.3">
      <c r="A31" s="3">
        <v>29</v>
      </c>
      <c r="B31" s="4" t="s">
        <v>49</v>
      </c>
      <c r="C31" s="5" t="s">
        <v>50</v>
      </c>
      <c r="D31" s="6">
        <v>41502</v>
      </c>
      <c r="E31" s="7">
        <v>2933</v>
      </c>
      <c r="F31" s="8">
        <v>24637312</v>
      </c>
      <c r="G31" s="9">
        <v>41683</v>
      </c>
      <c r="H31" s="7">
        <v>3330</v>
      </c>
      <c r="I31" s="8">
        <v>116632095</v>
      </c>
    </row>
    <row r="32" spans="1:9"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 min="12" max="12" width="25.69921875" customWidth="1"/>
    <col min="13" max="13" width="53.5" bestFit="1" customWidth="1"/>
    <col min="21" max="21" width="11" customWidth="1"/>
  </cols>
  <sheetData>
    <row r="1" spans="1:34" x14ac:dyDescent="0.3">
      <c r="A1" s="62" t="s">
        <v>3</v>
      </c>
      <c r="B1" s="63"/>
      <c r="C1" s="63"/>
      <c r="D1" s="63"/>
      <c r="E1" s="63"/>
      <c r="F1" s="63"/>
      <c r="G1" s="63"/>
      <c r="H1" s="63"/>
      <c r="I1" s="64"/>
      <c r="K1" s="10" t="s">
        <v>137</v>
      </c>
    </row>
    <row r="2" spans="1:34" ht="31.2" x14ac:dyDescent="0.3">
      <c r="A2" s="1" t="s">
        <v>4</v>
      </c>
      <c r="B2" s="1" t="s">
        <v>5</v>
      </c>
      <c r="C2" s="1" t="s">
        <v>6</v>
      </c>
      <c r="D2" s="1" t="s">
        <v>7</v>
      </c>
      <c r="E2" s="2" t="s">
        <v>8</v>
      </c>
      <c r="F2" s="2" t="s">
        <v>9</v>
      </c>
      <c r="G2" s="1" t="s">
        <v>10</v>
      </c>
      <c r="H2" s="2" t="s">
        <v>11</v>
      </c>
      <c r="I2" s="2" t="s">
        <v>12</v>
      </c>
      <c r="K2" s="11">
        <v>1</v>
      </c>
      <c r="L2" s="12" t="s">
        <v>426</v>
      </c>
    </row>
    <row r="3" spans="1:34" x14ac:dyDescent="0.3">
      <c r="A3" s="3">
        <v>1</v>
      </c>
      <c r="B3" s="4" t="s">
        <v>13</v>
      </c>
      <c r="C3" s="5" t="s">
        <v>14</v>
      </c>
      <c r="D3" s="6">
        <v>41600</v>
      </c>
      <c r="E3" s="7">
        <v>4163</v>
      </c>
      <c r="F3" s="8">
        <v>158074286</v>
      </c>
      <c r="G3" s="9">
        <v>41732</v>
      </c>
      <c r="H3" s="7">
        <v>4163</v>
      </c>
      <c r="I3" s="8">
        <v>424668047</v>
      </c>
      <c r="K3" s="11">
        <v>2</v>
      </c>
      <c r="L3" t="s">
        <v>444</v>
      </c>
    </row>
    <row r="4" spans="1:34" x14ac:dyDescent="0.3">
      <c r="A4" s="3">
        <v>2</v>
      </c>
      <c r="B4" s="4" t="s">
        <v>15</v>
      </c>
      <c r="C4" s="5" t="s">
        <v>16</v>
      </c>
      <c r="D4" s="6">
        <v>41397</v>
      </c>
      <c r="E4" s="7">
        <v>4253</v>
      </c>
      <c r="F4" s="8">
        <v>174144585</v>
      </c>
      <c r="G4" s="9">
        <v>41529</v>
      </c>
      <c r="H4" s="7">
        <v>4253</v>
      </c>
      <c r="I4" s="8">
        <v>409013994</v>
      </c>
      <c r="K4" s="11">
        <v>3</v>
      </c>
      <c r="L4" t="s">
        <v>430</v>
      </c>
    </row>
    <row r="5" spans="1:34" x14ac:dyDescent="0.3">
      <c r="A5" s="3">
        <v>3</v>
      </c>
      <c r="B5" s="4" t="s">
        <v>17</v>
      </c>
      <c r="C5" s="5" t="s">
        <v>16</v>
      </c>
      <c r="D5" s="6">
        <v>41600</v>
      </c>
      <c r="E5" s="7">
        <v>1</v>
      </c>
      <c r="F5" s="8">
        <v>243390</v>
      </c>
      <c r="G5" s="9">
        <v>41837</v>
      </c>
      <c r="H5" s="7">
        <v>3742</v>
      </c>
      <c r="I5" s="8">
        <v>400738009</v>
      </c>
      <c r="K5" s="11"/>
      <c r="L5" s="13" t="s">
        <v>427</v>
      </c>
    </row>
    <row r="6" spans="1:34" x14ac:dyDescent="0.3">
      <c r="A6" s="3">
        <v>4</v>
      </c>
      <c r="B6" s="4" t="s">
        <v>18</v>
      </c>
      <c r="C6" s="5" t="s">
        <v>19</v>
      </c>
      <c r="D6" s="6">
        <v>41458</v>
      </c>
      <c r="E6" s="7">
        <v>3997</v>
      </c>
      <c r="F6" s="8">
        <v>83517315</v>
      </c>
      <c r="G6" s="9">
        <v>41655</v>
      </c>
      <c r="H6" s="7">
        <v>4003</v>
      </c>
      <c r="I6" s="8">
        <v>368061265</v>
      </c>
      <c r="K6" s="11"/>
      <c r="L6" s="13" t="s">
        <v>428</v>
      </c>
    </row>
    <row r="7" spans="1:34" x14ac:dyDescent="0.3">
      <c r="A7" s="3">
        <v>5</v>
      </c>
      <c r="B7" s="4" t="s">
        <v>20</v>
      </c>
      <c r="C7" s="5" t="s">
        <v>21</v>
      </c>
      <c r="D7" s="6">
        <v>41439</v>
      </c>
      <c r="E7" s="7">
        <v>4207</v>
      </c>
      <c r="F7" s="8">
        <v>116619362</v>
      </c>
      <c r="G7" s="9">
        <v>41536</v>
      </c>
      <c r="H7" s="7">
        <v>4207</v>
      </c>
      <c r="I7" s="8">
        <v>291045518</v>
      </c>
      <c r="K7" s="11"/>
      <c r="L7" s="13" t="s">
        <v>445</v>
      </c>
      <c r="N7" s="56"/>
      <c r="O7" s="56"/>
      <c r="P7" s="56"/>
    </row>
    <row r="8" spans="1:34" x14ac:dyDescent="0.3">
      <c r="A8" s="3">
        <v>6</v>
      </c>
      <c r="B8" s="4" t="s">
        <v>22</v>
      </c>
      <c r="C8" s="5" t="s">
        <v>21</v>
      </c>
      <c r="D8" s="6">
        <v>41551</v>
      </c>
      <c r="E8" s="7">
        <v>3575</v>
      </c>
      <c r="F8" s="8">
        <v>55785112</v>
      </c>
      <c r="G8" s="9">
        <v>41767</v>
      </c>
      <c r="H8" s="7">
        <v>3820</v>
      </c>
      <c r="I8" s="8">
        <v>274092705</v>
      </c>
      <c r="K8" s="11"/>
      <c r="L8" s="53" t="s">
        <v>431</v>
      </c>
      <c r="M8" s="53" t="s">
        <v>432</v>
      </c>
    </row>
    <row r="9" spans="1:34" x14ac:dyDescent="0.3">
      <c r="A9" s="3">
        <v>7</v>
      </c>
      <c r="B9" s="4" t="s">
        <v>23</v>
      </c>
      <c r="C9" s="5" t="s">
        <v>16</v>
      </c>
      <c r="D9" s="6">
        <v>41446</v>
      </c>
      <c r="E9" s="7">
        <v>4004</v>
      </c>
      <c r="F9" s="8">
        <v>82429469</v>
      </c>
      <c r="G9" s="9">
        <v>41627</v>
      </c>
      <c r="H9" s="7">
        <v>4004</v>
      </c>
      <c r="I9" s="8">
        <v>268492764</v>
      </c>
      <c r="K9" s="11"/>
      <c r="L9" s="54" t="s">
        <v>429</v>
      </c>
      <c r="M9" s="54" t="s">
        <v>433</v>
      </c>
    </row>
    <row r="10" spans="1:34" x14ac:dyDescent="0.3">
      <c r="A10" s="3">
        <v>8</v>
      </c>
      <c r="B10" s="4" t="s">
        <v>24</v>
      </c>
      <c r="C10" s="5" t="s">
        <v>21</v>
      </c>
      <c r="D10" s="6">
        <v>41621</v>
      </c>
      <c r="E10" s="7">
        <v>3903</v>
      </c>
      <c r="F10" s="8">
        <v>73645197</v>
      </c>
      <c r="G10" s="9">
        <v>41746</v>
      </c>
      <c r="H10" s="7">
        <v>3928</v>
      </c>
      <c r="I10" s="8">
        <v>258366855</v>
      </c>
      <c r="K10" s="11"/>
      <c r="L10" s="54" t="s">
        <v>434</v>
      </c>
      <c r="M10" s="54" t="s">
        <v>441</v>
      </c>
    </row>
    <row r="11" spans="1:34" x14ac:dyDescent="0.3">
      <c r="A11" s="3">
        <v>9</v>
      </c>
      <c r="B11" s="4" t="s">
        <v>25</v>
      </c>
      <c r="C11" s="5" t="s">
        <v>19</v>
      </c>
      <c r="D11" s="6">
        <v>41418</v>
      </c>
      <c r="E11" s="7">
        <v>3658</v>
      </c>
      <c r="F11" s="8">
        <v>97375245</v>
      </c>
      <c r="G11" s="9">
        <v>41522</v>
      </c>
      <c r="H11" s="7">
        <v>3771</v>
      </c>
      <c r="I11" s="8">
        <v>238679850</v>
      </c>
      <c r="K11" s="11"/>
      <c r="L11" s="54" t="s">
        <v>437</v>
      </c>
      <c r="M11" s="54" t="s">
        <v>456</v>
      </c>
    </row>
    <row r="12" spans="1:34" x14ac:dyDescent="0.3">
      <c r="A12" s="3">
        <v>10</v>
      </c>
      <c r="B12" s="4" t="s">
        <v>26</v>
      </c>
      <c r="C12" s="5" t="s">
        <v>16</v>
      </c>
      <c r="D12" s="6">
        <v>41341</v>
      </c>
      <c r="E12" s="7">
        <v>3912</v>
      </c>
      <c r="F12" s="8">
        <v>79110453</v>
      </c>
      <c r="G12" s="9">
        <v>41473</v>
      </c>
      <c r="H12" s="7">
        <v>3912</v>
      </c>
      <c r="I12" s="8">
        <v>234911825</v>
      </c>
      <c r="L12" s="54" t="s">
        <v>436</v>
      </c>
      <c r="M12" s="54" t="s">
        <v>442</v>
      </c>
    </row>
    <row r="13" spans="1:34" x14ac:dyDescent="0.3">
      <c r="A13" s="3">
        <v>11</v>
      </c>
      <c r="B13" s="4" t="s">
        <v>27</v>
      </c>
      <c r="C13" s="5" t="s">
        <v>28</v>
      </c>
      <c r="D13" s="6">
        <v>41410</v>
      </c>
      <c r="E13" s="7">
        <v>3868</v>
      </c>
      <c r="F13" s="8">
        <v>70165559</v>
      </c>
      <c r="G13" s="9">
        <v>41529</v>
      </c>
      <c r="H13" s="7">
        <v>3907</v>
      </c>
      <c r="I13" s="8">
        <v>228778661</v>
      </c>
      <c r="L13" s="54" t="s">
        <v>439</v>
      </c>
      <c r="M13" s="54" t="s">
        <v>443</v>
      </c>
    </row>
    <row r="14" spans="1:34" x14ac:dyDescent="0.3">
      <c r="A14" s="3">
        <v>12</v>
      </c>
      <c r="B14" s="4" t="s">
        <v>29</v>
      </c>
      <c r="C14" s="5" t="s">
        <v>16</v>
      </c>
      <c r="D14" s="6">
        <v>41586</v>
      </c>
      <c r="E14" s="7">
        <v>3841</v>
      </c>
      <c r="F14" s="8">
        <v>85737841</v>
      </c>
      <c r="G14" s="9">
        <v>41746</v>
      </c>
      <c r="H14" s="7">
        <v>3841</v>
      </c>
      <c r="I14" s="8">
        <v>206362140</v>
      </c>
      <c r="L14" s="54" t="s">
        <v>435</v>
      </c>
      <c r="M14" s="54" t="s">
        <v>440</v>
      </c>
      <c r="Q14" s="57" t="s">
        <v>449</v>
      </c>
      <c r="R14" s="56">
        <v>1</v>
      </c>
      <c r="U14" s="56" t="b">
        <v>0</v>
      </c>
      <c r="X14" s="56">
        <v>0</v>
      </c>
      <c r="AA14" s="56">
        <v>6</v>
      </c>
      <c r="AE14" s="56">
        <v>3</v>
      </c>
      <c r="AH14" s="56">
        <v>0</v>
      </c>
    </row>
    <row r="15" spans="1:34" x14ac:dyDescent="0.3">
      <c r="A15" s="3">
        <v>13</v>
      </c>
      <c r="B15" s="4" t="s">
        <v>30</v>
      </c>
      <c r="C15" s="5" t="s">
        <v>28</v>
      </c>
      <c r="D15" s="6">
        <v>41446</v>
      </c>
      <c r="E15" s="7">
        <v>3607</v>
      </c>
      <c r="F15" s="8">
        <v>66411834</v>
      </c>
      <c r="G15" s="9">
        <v>41557</v>
      </c>
      <c r="H15" s="7">
        <v>3607</v>
      </c>
      <c r="I15" s="8">
        <v>202359711</v>
      </c>
      <c r="L15" s="54" t="s">
        <v>438</v>
      </c>
      <c r="M15" s="54" t="s">
        <v>457</v>
      </c>
      <c r="Q15" s="57" t="s">
        <v>450</v>
      </c>
    </row>
    <row r="16" spans="1:34" x14ac:dyDescent="0.3">
      <c r="A16" s="3">
        <v>14</v>
      </c>
      <c r="B16" s="4" t="s">
        <v>31</v>
      </c>
      <c r="C16" s="5" t="s">
        <v>32</v>
      </c>
      <c r="D16" s="6">
        <v>41355</v>
      </c>
      <c r="E16" s="7">
        <v>4046</v>
      </c>
      <c r="F16" s="8">
        <v>43639736</v>
      </c>
      <c r="G16" s="9">
        <v>41536</v>
      </c>
      <c r="H16" s="7">
        <v>4065</v>
      </c>
      <c r="I16" s="8">
        <v>187168425</v>
      </c>
      <c r="Q16" s="57" t="s">
        <v>451</v>
      </c>
      <c r="AH16" s="58">
        <f>ABS(AH14-100)</f>
        <v>100</v>
      </c>
    </row>
    <row r="17" spans="1:17" x14ac:dyDescent="0.3">
      <c r="A17" s="3">
        <v>15</v>
      </c>
      <c r="B17" s="4" t="s">
        <v>33</v>
      </c>
      <c r="C17" s="5" t="s">
        <v>32</v>
      </c>
      <c r="D17" s="6">
        <v>41453</v>
      </c>
      <c r="E17" s="7">
        <v>3181</v>
      </c>
      <c r="F17" s="8">
        <v>39115043</v>
      </c>
      <c r="G17" s="9">
        <v>41620</v>
      </c>
      <c r="H17" s="7">
        <v>3184</v>
      </c>
      <c r="I17" s="8">
        <v>159582188</v>
      </c>
      <c r="K17" s="11">
        <v>4</v>
      </c>
      <c r="L17" s="55" t="s">
        <v>446</v>
      </c>
      <c r="Q17" s="57" t="s">
        <v>452</v>
      </c>
    </row>
    <row r="18" spans="1:17" x14ac:dyDescent="0.3">
      <c r="A18" s="3">
        <v>16</v>
      </c>
      <c r="B18" s="4" t="s">
        <v>34</v>
      </c>
      <c r="C18" s="5" t="s">
        <v>21</v>
      </c>
      <c r="D18" s="6">
        <v>41493</v>
      </c>
      <c r="E18" s="7">
        <v>3260</v>
      </c>
      <c r="F18" s="8">
        <v>26419396</v>
      </c>
      <c r="G18" s="9">
        <v>41613</v>
      </c>
      <c r="H18" s="7">
        <v>3445</v>
      </c>
      <c r="I18" s="8">
        <v>150394119</v>
      </c>
      <c r="K18" s="11"/>
      <c r="L18" s="55" t="s">
        <v>448</v>
      </c>
      <c r="Q18" s="57" t="s">
        <v>453</v>
      </c>
    </row>
    <row r="19" spans="1:17" x14ac:dyDescent="0.3">
      <c r="A19" s="3">
        <v>17</v>
      </c>
      <c r="B19" s="4" t="s">
        <v>35</v>
      </c>
      <c r="C19" s="5" t="s">
        <v>36</v>
      </c>
      <c r="D19" s="6">
        <v>41621</v>
      </c>
      <c r="E19" s="7">
        <v>6</v>
      </c>
      <c r="F19" s="8">
        <v>740455</v>
      </c>
      <c r="G19" s="9">
        <v>41735</v>
      </c>
      <c r="H19" s="7">
        <v>2629</v>
      </c>
      <c r="I19" s="8">
        <v>150117807</v>
      </c>
      <c r="K19" s="11">
        <v>5</v>
      </c>
      <c r="L19" s="55" t="s">
        <v>463</v>
      </c>
      <c r="Q19" s="57" t="s">
        <v>454</v>
      </c>
    </row>
    <row r="20" spans="1:17" x14ac:dyDescent="0.3">
      <c r="A20" s="3">
        <v>18</v>
      </c>
      <c r="B20" s="4" t="s">
        <v>37</v>
      </c>
      <c r="C20" s="5" t="s">
        <v>21</v>
      </c>
      <c r="D20" s="6">
        <v>41404</v>
      </c>
      <c r="E20" s="7">
        <v>3535</v>
      </c>
      <c r="F20" s="8">
        <v>50085185</v>
      </c>
      <c r="G20" s="9">
        <v>41508</v>
      </c>
      <c r="H20" s="7">
        <v>3550</v>
      </c>
      <c r="I20" s="8">
        <v>144840419</v>
      </c>
      <c r="Q20" s="57" t="s">
        <v>455</v>
      </c>
    </row>
    <row r="21" spans="1:17" x14ac:dyDescent="0.3">
      <c r="A21" s="3">
        <v>19</v>
      </c>
      <c r="B21" s="4" t="s">
        <v>38</v>
      </c>
      <c r="C21" s="5" t="s">
        <v>21</v>
      </c>
      <c r="D21" s="6">
        <v>41474</v>
      </c>
      <c r="E21" s="7">
        <v>2903</v>
      </c>
      <c r="F21" s="8">
        <v>41855326</v>
      </c>
      <c r="G21" s="9">
        <v>41578</v>
      </c>
      <c r="H21" s="7">
        <v>3115</v>
      </c>
      <c r="I21" s="8">
        <v>137400141</v>
      </c>
    </row>
    <row r="22" spans="1:17" x14ac:dyDescent="0.3">
      <c r="A22" s="3">
        <v>20</v>
      </c>
      <c r="B22" s="4" t="s">
        <v>39</v>
      </c>
      <c r="C22" s="5" t="s">
        <v>19</v>
      </c>
      <c r="D22" s="6">
        <v>41313</v>
      </c>
      <c r="E22" s="7">
        <v>3141</v>
      </c>
      <c r="F22" s="8">
        <v>34551025</v>
      </c>
      <c r="G22" s="9">
        <v>41431</v>
      </c>
      <c r="H22" s="7">
        <v>3230</v>
      </c>
      <c r="I22" s="8">
        <v>134506920</v>
      </c>
    </row>
    <row r="23" spans="1:17" x14ac:dyDescent="0.3">
      <c r="A23" s="3">
        <v>21</v>
      </c>
      <c r="B23" s="4" t="s">
        <v>40</v>
      </c>
      <c r="C23" s="5" t="s">
        <v>36</v>
      </c>
      <c r="D23" s="6">
        <v>41467</v>
      </c>
      <c r="E23" s="7">
        <v>3491</v>
      </c>
      <c r="F23" s="8">
        <v>41508572</v>
      </c>
      <c r="G23" s="9">
        <v>41595</v>
      </c>
      <c r="H23" s="7">
        <v>3491</v>
      </c>
      <c r="I23" s="8">
        <v>133668525</v>
      </c>
    </row>
    <row r="24" spans="1:17" x14ac:dyDescent="0.3">
      <c r="A24" s="3">
        <v>22</v>
      </c>
      <c r="B24" s="4" t="s">
        <v>41</v>
      </c>
      <c r="C24" s="5" t="s">
        <v>32</v>
      </c>
      <c r="D24" s="6">
        <v>41481</v>
      </c>
      <c r="E24" s="7">
        <v>3924</v>
      </c>
      <c r="F24" s="8">
        <v>53113752</v>
      </c>
      <c r="G24" s="9">
        <v>41613</v>
      </c>
      <c r="H24" s="7">
        <v>3924</v>
      </c>
      <c r="I24" s="8">
        <v>132556852</v>
      </c>
    </row>
    <row r="25" spans="1:17" x14ac:dyDescent="0.3">
      <c r="A25" s="3">
        <v>23</v>
      </c>
      <c r="B25" s="4" t="s">
        <v>42</v>
      </c>
      <c r="C25" s="5" t="s">
        <v>28</v>
      </c>
      <c r="D25" s="6">
        <v>41626</v>
      </c>
      <c r="E25" s="7">
        <v>3507</v>
      </c>
      <c r="F25" s="8">
        <v>26232425</v>
      </c>
      <c r="G25" s="9">
        <v>41690</v>
      </c>
      <c r="H25" s="7">
        <v>3507</v>
      </c>
      <c r="I25" s="8">
        <v>125168368</v>
      </c>
    </row>
    <row r="26" spans="1:17" x14ac:dyDescent="0.3">
      <c r="A26" s="3">
        <v>24</v>
      </c>
      <c r="B26" s="4" t="s">
        <v>43</v>
      </c>
      <c r="C26" s="5" t="s">
        <v>19</v>
      </c>
      <c r="D26" s="6">
        <v>41633</v>
      </c>
      <c r="E26" s="7">
        <v>2</v>
      </c>
      <c r="F26" s="8">
        <v>90872</v>
      </c>
      <c r="G26" s="9">
        <v>41739</v>
      </c>
      <c r="H26" s="7">
        <v>3285</v>
      </c>
      <c r="I26" s="8">
        <v>125095601</v>
      </c>
    </row>
    <row r="27" spans="1:17" x14ac:dyDescent="0.3">
      <c r="A27" s="3">
        <v>25</v>
      </c>
      <c r="B27" s="4" t="s">
        <v>44</v>
      </c>
      <c r="C27" s="5" t="s">
        <v>28</v>
      </c>
      <c r="D27" s="6">
        <v>41361</v>
      </c>
      <c r="E27" s="7">
        <v>3719</v>
      </c>
      <c r="F27" s="8">
        <v>40501814</v>
      </c>
      <c r="G27" s="9">
        <v>41473</v>
      </c>
      <c r="H27" s="7">
        <v>3734</v>
      </c>
      <c r="I27" s="8">
        <v>122523060</v>
      </c>
    </row>
    <row r="28" spans="1:17" x14ac:dyDescent="0.3">
      <c r="A28" s="3">
        <v>26</v>
      </c>
      <c r="B28" s="4" t="s">
        <v>45</v>
      </c>
      <c r="C28" s="5" t="s">
        <v>36</v>
      </c>
      <c r="D28" s="6">
        <v>41544</v>
      </c>
      <c r="E28" s="7">
        <v>4001</v>
      </c>
      <c r="F28" s="8">
        <v>34017930</v>
      </c>
      <c r="G28" s="9">
        <v>41714</v>
      </c>
      <c r="H28" s="7">
        <v>4001</v>
      </c>
      <c r="I28" s="8">
        <v>119793567</v>
      </c>
    </row>
    <row r="29" spans="1:17" x14ac:dyDescent="0.3">
      <c r="A29" s="3">
        <v>27</v>
      </c>
      <c r="B29" s="4" t="s">
        <v>46</v>
      </c>
      <c r="C29" s="5" t="s">
        <v>47</v>
      </c>
      <c r="D29" s="6">
        <v>41425</v>
      </c>
      <c r="E29" s="7">
        <v>2925</v>
      </c>
      <c r="F29" s="8">
        <v>29350389</v>
      </c>
      <c r="G29" s="9">
        <v>41543</v>
      </c>
      <c r="H29" s="7">
        <v>3082</v>
      </c>
      <c r="I29" s="8">
        <v>117723989</v>
      </c>
    </row>
    <row r="30" spans="1:17" x14ac:dyDescent="0.3">
      <c r="A30" s="3">
        <v>28</v>
      </c>
      <c r="B30" s="4" t="s">
        <v>48</v>
      </c>
      <c r="C30" s="5" t="s">
        <v>28</v>
      </c>
      <c r="D30" s="6">
        <v>41633</v>
      </c>
      <c r="E30" s="7">
        <v>2537</v>
      </c>
      <c r="F30" s="8">
        <v>18361578</v>
      </c>
      <c r="G30" s="9">
        <v>41732</v>
      </c>
      <c r="H30" s="7">
        <v>2557</v>
      </c>
      <c r="I30" s="8">
        <v>116900694</v>
      </c>
    </row>
    <row r="31" spans="1:17" x14ac:dyDescent="0.3">
      <c r="A31" s="3">
        <v>29</v>
      </c>
      <c r="B31" s="4" t="s">
        <v>49</v>
      </c>
      <c r="C31" s="5" t="s">
        <v>50</v>
      </c>
      <c r="D31" s="6">
        <v>41502</v>
      </c>
      <c r="E31" s="7">
        <v>2933</v>
      </c>
      <c r="F31" s="8">
        <v>24637312</v>
      </c>
      <c r="G31" s="9">
        <v>41683</v>
      </c>
      <c r="H31" s="7">
        <v>3330</v>
      </c>
      <c r="I31" s="8">
        <v>116632095</v>
      </c>
    </row>
    <row r="32" spans="1:17"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1">
                <anchor moveWithCells="1" sizeWithCells="1">
                  <from>
                    <xdr:col>13</xdr:col>
                    <xdr:colOff>609600</xdr:colOff>
                    <xdr:row>8</xdr:row>
                    <xdr:rowOff>53340</xdr:rowOff>
                  </from>
                  <to>
                    <xdr:col>15</xdr:col>
                    <xdr:colOff>68580</xdr:colOff>
                    <xdr:row>10</xdr:row>
                    <xdr:rowOff>91440</xdr:rowOff>
                  </to>
                </anchor>
              </controlPr>
            </control>
          </mc:Choice>
        </mc:AlternateContent>
        <mc:AlternateContent xmlns:mc="http://schemas.openxmlformats.org/markup-compatibility/2006">
          <mc:Choice Requires="x14">
            <control shapeId="24578" r:id="rId5" name="Drop Down 2">
              <controlPr defaultSize="0" autoLine="0" autoPict="0">
                <anchor moveWithCells="1">
                  <from>
                    <xdr:col>16</xdr:col>
                    <xdr:colOff>15240</xdr:colOff>
                    <xdr:row>8</xdr:row>
                    <xdr:rowOff>152400</xdr:rowOff>
                  </from>
                  <to>
                    <xdr:col>18</xdr:col>
                    <xdr:colOff>411480</xdr:colOff>
                    <xdr:row>10</xdr:row>
                    <xdr:rowOff>7620</xdr:rowOff>
                  </to>
                </anchor>
              </controlPr>
            </control>
          </mc:Choice>
        </mc:AlternateContent>
        <mc:AlternateContent xmlns:mc="http://schemas.openxmlformats.org/markup-compatibility/2006">
          <mc:Choice Requires="x14">
            <control shapeId="24580" r:id="rId6" name="Check Box 4">
              <controlPr defaultSize="0" autoFill="0" autoLine="0" autoPict="0">
                <anchor moveWithCells="1">
                  <from>
                    <xdr:col>20</xdr:col>
                    <xdr:colOff>22860</xdr:colOff>
                    <xdr:row>9</xdr:row>
                    <xdr:rowOff>0</xdr:rowOff>
                  </from>
                  <to>
                    <xdr:col>20</xdr:col>
                    <xdr:colOff>731520</xdr:colOff>
                    <xdr:row>10</xdr:row>
                    <xdr:rowOff>15240</xdr:rowOff>
                  </to>
                </anchor>
              </controlPr>
            </control>
          </mc:Choice>
        </mc:AlternateContent>
        <mc:AlternateContent xmlns:mc="http://schemas.openxmlformats.org/markup-compatibility/2006">
          <mc:Choice Requires="x14">
            <control shapeId="24581" r:id="rId7" name="Spinner 5">
              <controlPr defaultSize="0" autoPict="0">
                <anchor moveWithCells="1" sizeWithCells="1">
                  <from>
                    <xdr:col>23</xdr:col>
                    <xdr:colOff>45720</xdr:colOff>
                    <xdr:row>7</xdr:row>
                    <xdr:rowOff>137160</xdr:rowOff>
                  </from>
                  <to>
                    <xdr:col>23</xdr:col>
                    <xdr:colOff>579120</xdr:colOff>
                    <xdr:row>11</xdr:row>
                    <xdr:rowOff>7620</xdr:rowOff>
                  </to>
                </anchor>
              </controlPr>
            </control>
          </mc:Choice>
        </mc:AlternateContent>
        <mc:AlternateContent xmlns:mc="http://schemas.openxmlformats.org/markup-compatibility/2006">
          <mc:Choice Requires="x14">
            <control shapeId="24582" r:id="rId8" name="List Box 6">
              <controlPr defaultSize="0" autoLine="0" autoPict="0">
                <anchor moveWithCells="1">
                  <from>
                    <xdr:col>25</xdr:col>
                    <xdr:colOff>617220</xdr:colOff>
                    <xdr:row>6</xdr:row>
                    <xdr:rowOff>182880</xdr:rowOff>
                  </from>
                  <to>
                    <xdr:col>28</xdr:col>
                    <xdr:colOff>373380</xdr:colOff>
                    <xdr:row>12</xdr:row>
                    <xdr:rowOff>7620</xdr:rowOff>
                  </to>
                </anchor>
              </controlPr>
            </control>
          </mc:Choice>
        </mc:AlternateContent>
        <mc:AlternateContent xmlns:mc="http://schemas.openxmlformats.org/markup-compatibility/2006">
          <mc:Choice Requires="x14">
            <control shapeId="24583" r:id="rId9" name="Option Button 7">
              <controlPr defaultSize="0" autoFill="0" autoLine="0" autoPict="0">
                <anchor moveWithCells="1">
                  <from>
                    <xdr:col>30</xdr:col>
                    <xdr:colOff>15240</xdr:colOff>
                    <xdr:row>5</xdr:row>
                    <xdr:rowOff>30480</xdr:rowOff>
                  </from>
                  <to>
                    <xdr:col>31</xdr:col>
                    <xdr:colOff>220980</xdr:colOff>
                    <xdr:row>6</xdr:row>
                    <xdr:rowOff>45720</xdr:rowOff>
                  </to>
                </anchor>
              </controlPr>
            </control>
          </mc:Choice>
        </mc:AlternateContent>
        <mc:AlternateContent xmlns:mc="http://schemas.openxmlformats.org/markup-compatibility/2006">
          <mc:Choice Requires="x14">
            <control shapeId="24584" r:id="rId10" name="Option Button 8">
              <controlPr defaultSize="0" autoFill="0" autoLine="0" autoPict="0">
                <anchor moveWithCells="1">
                  <from>
                    <xdr:col>30</xdr:col>
                    <xdr:colOff>15240</xdr:colOff>
                    <xdr:row>7</xdr:row>
                    <xdr:rowOff>7620</xdr:rowOff>
                  </from>
                  <to>
                    <xdr:col>31</xdr:col>
                    <xdr:colOff>220980</xdr:colOff>
                    <xdr:row>8</xdr:row>
                    <xdr:rowOff>22860</xdr:rowOff>
                  </to>
                </anchor>
              </controlPr>
            </control>
          </mc:Choice>
        </mc:AlternateContent>
        <mc:AlternateContent xmlns:mc="http://schemas.openxmlformats.org/markup-compatibility/2006">
          <mc:Choice Requires="x14">
            <control shapeId="24585" r:id="rId11" name="Option Button 9">
              <controlPr defaultSize="0" autoFill="0" autoLine="0" autoPict="0" altText="Option Button 3">
                <anchor moveWithCells="1">
                  <from>
                    <xdr:col>30</xdr:col>
                    <xdr:colOff>15240</xdr:colOff>
                    <xdr:row>9</xdr:row>
                    <xdr:rowOff>45720</xdr:rowOff>
                  </from>
                  <to>
                    <xdr:col>31</xdr:col>
                    <xdr:colOff>220980</xdr:colOff>
                    <xdr:row>10</xdr:row>
                    <xdr:rowOff>60960</xdr:rowOff>
                  </to>
                </anchor>
              </controlPr>
            </control>
          </mc:Choice>
        </mc:AlternateContent>
        <mc:AlternateContent xmlns:mc="http://schemas.openxmlformats.org/markup-compatibility/2006">
          <mc:Choice Requires="x14">
            <control shapeId="24586" r:id="rId12" name="Scroll Bar 10">
              <controlPr defaultSize="0" autoPict="0">
                <anchor moveWithCells="1">
                  <from>
                    <xdr:col>33</xdr:col>
                    <xdr:colOff>205740</xdr:colOff>
                    <xdr:row>1</xdr:row>
                    <xdr:rowOff>281940</xdr:rowOff>
                  </from>
                  <to>
                    <xdr:col>33</xdr:col>
                    <xdr:colOff>472440</xdr:colOff>
                    <xdr:row>11</xdr:row>
                    <xdr:rowOff>144780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102"/>
  <sheetViews>
    <sheetView workbookViewId="0">
      <selection sqref="A1:I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 min="15" max="15" width="6.69921875" customWidth="1"/>
    <col min="16" max="16" width="36.796875" customWidth="1"/>
    <col min="17" max="17" width="10.796875" customWidth="1"/>
    <col min="18" max="18" width="9.09765625" customWidth="1"/>
    <col min="19" max="19" width="7.796875" customWidth="1"/>
    <col min="20" max="20" width="12.3984375" bestFit="1" customWidth="1"/>
    <col min="21" max="21" width="9.09765625" customWidth="1"/>
    <col min="22" max="22" width="7.796875" customWidth="1"/>
    <col min="23" max="23" width="12.3984375" bestFit="1" customWidth="1"/>
    <col min="27" max="27" width="21.59765625" customWidth="1"/>
  </cols>
  <sheetData>
    <row r="1" spans="1:25" x14ac:dyDescent="0.3">
      <c r="A1" s="62" t="s">
        <v>3</v>
      </c>
      <c r="B1" s="63"/>
      <c r="C1" s="63"/>
      <c r="D1" s="63"/>
      <c r="E1" s="63"/>
      <c r="F1" s="63"/>
      <c r="G1" s="63"/>
      <c r="H1" s="63"/>
      <c r="I1" s="64"/>
      <c r="K1" s="10" t="s">
        <v>138</v>
      </c>
    </row>
    <row r="2" spans="1:25" ht="31.2" x14ac:dyDescent="0.3">
      <c r="A2" s="1" t="s">
        <v>4</v>
      </c>
      <c r="B2" s="1" t="s">
        <v>5</v>
      </c>
      <c r="C2" s="1" t="s">
        <v>6</v>
      </c>
      <c r="D2" s="1" t="s">
        <v>7</v>
      </c>
      <c r="E2" s="2" t="s">
        <v>8</v>
      </c>
      <c r="F2" s="2" t="s">
        <v>9</v>
      </c>
      <c r="G2" s="1" t="s">
        <v>10</v>
      </c>
      <c r="H2" s="2" t="s">
        <v>11</v>
      </c>
      <c r="I2" s="2" t="s">
        <v>12</v>
      </c>
      <c r="K2" s="11">
        <v>1</v>
      </c>
      <c r="L2" s="12" t="s">
        <v>458</v>
      </c>
    </row>
    <row r="3" spans="1:25" x14ac:dyDescent="0.3">
      <c r="A3" s="3">
        <v>1</v>
      </c>
      <c r="B3" s="4" t="s">
        <v>13</v>
      </c>
      <c r="C3" s="5" t="s">
        <v>14</v>
      </c>
      <c r="D3" s="6">
        <v>41600</v>
      </c>
      <c r="E3" s="7">
        <v>4163</v>
      </c>
      <c r="F3" s="8">
        <v>158074286</v>
      </c>
      <c r="G3" s="9">
        <v>41732</v>
      </c>
      <c r="H3" s="7">
        <v>4163</v>
      </c>
      <c r="I3" s="8">
        <v>424668047</v>
      </c>
      <c r="K3" s="11">
        <v>2</v>
      </c>
      <c r="L3" t="s">
        <v>459</v>
      </c>
    </row>
    <row r="4" spans="1:25" x14ac:dyDescent="0.3">
      <c r="A4" s="3">
        <v>2</v>
      </c>
      <c r="B4" s="4" t="s">
        <v>15</v>
      </c>
      <c r="C4" s="5" t="s">
        <v>16</v>
      </c>
      <c r="D4" s="6">
        <v>41397</v>
      </c>
      <c r="E4" s="7">
        <v>4253</v>
      </c>
      <c r="F4" s="8">
        <v>174144585</v>
      </c>
      <c r="G4" s="9">
        <v>41529</v>
      </c>
      <c r="H4" s="7">
        <v>4253</v>
      </c>
      <c r="I4" s="8">
        <v>409013994</v>
      </c>
      <c r="K4" s="11">
        <v>3</v>
      </c>
      <c r="L4" t="s">
        <v>462</v>
      </c>
    </row>
    <row r="5" spans="1:25" x14ac:dyDescent="0.3">
      <c r="A5" s="3">
        <v>3</v>
      </c>
      <c r="B5" s="4" t="s">
        <v>17</v>
      </c>
      <c r="C5" s="5" t="s">
        <v>16</v>
      </c>
      <c r="D5" s="6">
        <v>41600</v>
      </c>
      <c r="E5" s="7">
        <v>1</v>
      </c>
      <c r="F5" s="8">
        <v>243390</v>
      </c>
      <c r="G5" s="9">
        <v>41837</v>
      </c>
      <c r="H5" s="7">
        <v>3742</v>
      </c>
      <c r="I5" s="8">
        <v>400738009</v>
      </c>
      <c r="K5" s="11">
        <v>4</v>
      </c>
      <c r="L5" t="s">
        <v>464</v>
      </c>
    </row>
    <row r="6" spans="1:25" x14ac:dyDescent="0.3">
      <c r="A6" s="3">
        <v>4</v>
      </c>
      <c r="B6" s="4" t="s">
        <v>18</v>
      </c>
      <c r="C6" s="5" t="s">
        <v>19</v>
      </c>
      <c r="D6" s="6">
        <v>41458</v>
      </c>
      <c r="E6" s="7">
        <v>3997</v>
      </c>
      <c r="F6" s="8">
        <v>83517315</v>
      </c>
      <c r="G6" s="9">
        <v>41655</v>
      </c>
      <c r="H6" s="7">
        <v>4003</v>
      </c>
      <c r="I6" s="8">
        <v>368061265</v>
      </c>
      <c r="K6" s="11"/>
    </row>
    <row r="7" spans="1:25" x14ac:dyDescent="0.3">
      <c r="A7" s="3">
        <v>5</v>
      </c>
      <c r="B7" s="4" t="s">
        <v>20</v>
      </c>
      <c r="C7" s="5" t="s">
        <v>21</v>
      </c>
      <c r="D7" s="6">
        <v>41439</v>
      </c>
      <c r="E7" s="7">
        <v>4207</v>
      </c>
      <c r="F7" s="8">
        <v>116619362</v>
      </c>
      <c r="G7" s="9">
        <v>41536</v>
      </c>
      <c r="H7" s="7">
        <v>4207</v>
      </c>
      <c r="I7" s="8">
        <v>291045518</v>
      </c>
      <c r="K7" s="11"/>
      <c r="O7" s="66" t="str">
        <f ca="1">"Top 100 Grossing Movies of 2013 (Showing "&amp;O9&amp;" through "&amp;O18&amp;")"</f>
        <v>Top 100 Grossing Movies of 2013 (Showing 1 through 10)</v>
      </c>
      <c r="P7" s="67"/>
      <c r="Q7" s="67"/>
      <c r="R7" s="67"/>
      <c r="S7" s="67"/>
      <c r="T7" s="67"/>
      <c r="U7" s="67"/>
      <c r="V7" s="67"/>
      <c r="W7" s="68"/>
    </row>
    <row r="8" spans="1:25" ht="31.2" x14ac:dyDescent="0.3">
      <c r="A8" s="3">
        <v>6</v>
      </c>
      <c r="B8" s="4" t="s">
        <v>22</v>
      </c>
      <c r="C8" s="5" t="s">
        <v>21</v>
      </c>
      <c r="D8" s="6">
        <v>41551</v>
      </c>
      <c r="E8" s="7">
        <v>3575</v>
      </c>
      <c r="F8" s="8">
        <v>55785112</v>
      </c>
      <c r="G8" s="9">
        <v>41767</v>
      </c>
      <c r="H8" s="7">
        <v>3820</v>
      </c>
      <c r="I8" s="8">
        <v>274092705</v>
      </c>
      <c r="K8" s="11"/>
      <c r="O8" s="1" t="s">
        <v>4</v>
      </c>
      <c r="P8" s="1" t="s">
        <v>5</v>
      </c>
      <c r="Q8" s="1" t="s">
        <v>6</v>
      </c>
      <c r="R8" s="1" t="s">
        <v>7</v>
      </c>
      <c r="S8" s="2" t="s">
        <v>8</v>
      </c>
      <c r="T8" s="2" t="s">
        <v>9</v>
      </c>
      <c r="U8" s="1" t="s">
        <v>10</v>
      </c>
      <c r="V8" s="2" t="s">
        <v>11</v>
      </c>
      <c r="W8" s="2" t="s">
        <v>12</v>
      </c>
    </row>
    <row r="9" spans="1:25" x14ac:dyDescent="0.3">
      <c r="A9" s="3">
        <v>7</v>
      </c>
      <c r="B9" s="4" t="s">
        <v>23</v>
      </c>
      <c r="C9" s="5" t="s">
        <v>16</v>
      </c>
      <c r="D9" s="6">
        <v>41446</v>
      </c>
      <c r="E9" s="7">
        <v>4004</v>
      </c>
      <c r="F9" s="8">
        <v>82429469</v>
      </c>
      <c r="G9" s="9">
        <v>41627</v>
      </c>
      <c r="H9" s="7">
        <v>4004</v>
      </c>
      <c r="I9" s="8">
        <v>268492764</v>
      </c>
      <c r="K9" s="11"/>
      <c r="O9" s="3">
        <f t="shared" ref="O9:W9" ca="1" si="0">OFFSET(A$3,$Y$9,)</f>
        <v>1</v>
      </c>
      <c r="P9" s="4" t="str">
        <f t="shared" ca="1" si="0"/>
        <v>The Hunger Games: Catching Fire</v>
      </c>
      <c r="Q9" s="5" t="str">
        <f t="shared" ca="1" si="0"/>
        <v>LGF</v>
      </c>
      <c r="R9" s="6">
        <f t="shared" ca="1" si="0"/>
        <v>41600</v>
      </c>
      <c r="S9" s="7">
        <f t="shared" ca="1" si="0"/>
        <v>4163</v>
      </c>
      <c r="T9" s="59">
        <f t="shared" ca="1" si="0"/>
        <v>158074286</v>
      </c>
      <c r="U9" s="9">
        <f t="shared" ca="1" si="0"/>
        <v>41732</v>
      </c>
      <c r="V9" s="7">
        <f t="shared" ca="1" si="0"/>
        <v>4163</v>
      </c>
      <c r="W9" s="59">
        <f t="shared" ca="1" si="0"/>
        <v>424668047</v>
      </c>
      <c r="Y9" s="56">
        <v>0</v>
      </c>
    </row>
    <row r="10" spans="1:25" x14ac:dyDescent="0.3">
      <c r="A10" s="3">
        <v>8</v>
      </c>
      <c r="B10" s="4" t="s">
        <v>24</v>
      </c>
      <c r="C10" s="5" t="s">
        <v>21</v>
      </c>
      <c r="D10" s="6">
        <v>41621</v>
      </c>
      <c r="E10" s="7">
        <v>3903</v>
      </c>
      <c r="F10" s="8">
        <v>73645197</v>
      </c>
      <c r="G10" s="9">
        <v>41746</v>
      </c>
      <c r="H10" s="7">
        <v>3928</v>
      </c>
      <c r="I10" s="8">
        <v>258366855</v>
      </c>
      <c r="K10" s="11"/>
      <c r="O10" s="3">
        <f t="shared" ref="O10:W10" ca="1" si="1">OFFSET(A$3,$Y$9+1,)</f>
        <v>2</v>
      </c>
      <c r="P10" s="4" t="str">
        <f t="shared" ca="1" si="1"/>
        <v>Iron Man 3</v>
      </c>
      <c r="Q10" s="5" t="str">
        <f t="shared" ca="1" si="1"/>
        <v>BV</v>
      </c>
      <c r="R10" s="6">
        <f t="shared" ca="1" si="1"/>
        <v>41397</v>
      </c>
      <c r="S10" s="7">
        <f t="shared" ca="1" si="1"/>
        <v>4253</v>
      </c>
      <c r="T10" s="59">
        <f t="shared" ca="1" si="1"/>
        <v>174144585</v>
      </c>
      <c r="U10" s="9">
        <f t="shared" ca="1" si="1"/>
        <v>41529</v>
      </c>
      <c r="V10" s="7">
        <f t="shared" ca="1" si="1"/>
        <v>4253</v>
      </c>
      <c r="W10" s="59">
        <f t="shared" ca="1" si="1"/>
        <v>409013994</v>
      </c>
    </row>
    <row r="11" spans="1:25" x14ac:dyDescent="0.3">
      <c r="A11" s="3">
        <v>9</v>
      </c>
      <c r="B11" s="4" t="s">
        <v>25</v>
      </c>
      <c r="C11" s="5" t="s">
        <v>19</v>
      </c>
      <c r="D11" s="6">
        <v>41418</v>
      </c>
      <c r="E11" s="7">
        <v>3658</v>
      </c>
      <c r="F11" s="8">
        <v>97375245</v>
      </c>
      <c r="G11" s="9">
        <v>41522</v>
      </c>
      <c r="H11" s="7">
        <v>3771</v>
      </c>
      <c r="I11" s="8">
        <v>238679850</v>
      </c>
      <c r="K11" s="11"/>
      <c r="O11" s="3">
        <f t="shared" ref="O11:W11" ca="1" si="2">OFFSET(A$3,$Y$9+2,)</f>
        <v>3</v>
      </c>
      <c r="P11" s="4" t="str">
        <f t="shared" ca="1" si="2"/>
        <v>Frozen</v>
      </c>
      <c r="Q11" s="5" t="str">
        <f t="shared" ca="1" si="2"/>
        <v>BV</v>
      </c>
      <c r="R11" s="6">
        <f t="shared" ca="1" si="2"/>
        <v>41600</v>
      </c>
      <c r="S11" s="7">
        <f t="shared" ca="1" si="2"/>
        <v>1</v>
      </c>
      <c r="T11" s="59">
        <f t="shared" ca="1" si="2"/>
        <v>243390</v>
      </c>
      <c r="U11" s="9">
        <f t="shared" ca="1" si="2"/>
        <v>41837</v>
      </c>
      <c r="V11" s="7">
        <f t="shared" ca="1" si="2"/>
        <v>3742</v>
      </c>
      <c r="W11" s="59">
        <f t="shared" ca="1" si="2"/>
        <v>400738009</v>
      </c>
    </row>
    <row r="12" spans="1:25" x14ac:dyDescent="0.3">
      <c r="A12" s="3">
        <v>10</v>
      </c>
      <c r="B12" s="4" t="s">
        <v>26</v>
      </c>
      <c r="C12" s="5" t="s">
        <v>16</v>
      </c>
      <c r="D12" s="6">
        <v>41341</v>
      </c>
      <c r="E12" s="7">
        <v>3912</v>
      </c>
      <c r="F12" s="8">
        <v>79110453</v>
      </c>
      <c r="G12" s="9">
        <v>41473</v>
      </c>
      <c r="H12" s="7">
        <v>3912</v>
      </c>
      <c r="I12" s="8">
        <v>234911825</v>
      </c>
      <c r="O12" s="3">
        <f t="shared" ref="O12:W12" ca="1" si="3">OFFSET(A$3,$Y$9+3,)</f>
        <v>4</v>
      </c>
      <c r="P12" s="4" t="str">
        <f t="shared" ca="1" si="3"/>
        <v>Despicable Me 2</v>
      </c>
      <c r="Q12" s="5" t="str">
        <f t="shared" ca="1" si="3"/>
        <v>Uni.</v>
      </c>
      <c r="R12" s="6">
        <f t="shared" ca="1" si="3"/>
        <v>41458</v>
      </c>
      <c r="S12" s="7">
        <f t="shared" ca="1" si="3"/>
        <v>3997</v>
      </c>
      <c r="T12" s="59">
        <f t="shared" ca="1" si="3"/>
        <v>83517315</v>
      </c>
      <c r="U12" s="9">
        <f t="shared" ca="1" si="3"/>
        <v>41655</v>
      </c>
      <c r="V12" s="7">
        <f t="shared" ca="1" si="3"/>
        <v>4003</v>
      </c>
      <c r="W12" s="59">
        <f t="shared" ca="1" si="3"/>
        <v>368061265</v>
      </c>
    </row>
    <row r="13" spans="1:25" x14ac:dyDescent="0.3">
      <c r="A13" s="3">
        <v>11</v>
      </c>
      <c r="B13" s="4" t="s">
        <v>27</v>
      </c>
      <c r="C13" s="5" t="s">
        <v>28</v>
      </c>
      <c r="D13" s="6">
        <v>41410</v>
      </c>
      <c r="E13" s="7">
        <v>3868</v>
      </c>
      <c r="F13" s="8">
        <v>70165559</v>
      </c>
      <c r="G13" s="9">
        <v>41529</v>
      </c>
      <c r="H13" s="7">
        <v>3907</v>
      </c>
      <c r="I13" s="8">
        <v>228778661</v>
      </c>
      <c r="O13" s="3">
        <f t="shared" ref="O13:W13" ca="1" si="4">OFFSET(A$3,$Y$9+4,)</f>
        <v>5</v>
      </c>
      <c r="P13" s="4" t="str">
        <f t="shared" ca="1" si="4"/>
        <v>Man of Steel</v>
      </c>
      <c r="Q13" s="5" t="str">
        <f t="shared" ca="1" si="4"/>
        <v>WB</v>
      </c>
      <c r="R13" s="6">
        <f t="shared" ca="1" si="4"/>
        <v>41439</v>
      </c>
      <c r="S13" s="7">
        <f t="shared" ca="1" si="4"/>
        <v>4207</v>
      </c>
      <c r="T13" s="59">
        <f t="shared" ca="1" si="4"/>
        <v>116619362</v>
      </c>
      <c r="U13" s="9">
        <f t="shared" ca="1" si="4"/>
        <v>41536</v>
      </c>
      <c r="V13" s="7">
        <f t="shared" ca="1" si="4"/>
        <v>4207</v>
      </c>
      <c r="W13" s="59">
        <f t="shared" ca="1" si="4"/>
        <v>291045518</v>
      </c>
    </row>
    <row r="14" spans="1:25" x14ac:dyDescent="0.3">
      <c r="A14" s="3">
        <v>12</v>
      </c>
      <c r="B14" s="4" t="s">
        <v>29</v>
      </c>
      <c r="C14" s="5" t="s">
        <v>16</v>
      </c>
      <c r="D14" s="6">
        <v>41586</v>
      </c>
      <c r="E14" s="7">
        <v>3841</v>
      </c>
      <c r="F14" s="8">
        <v>85737841</v>
      </c>
      <c r="G14" s="9">
        <v>41746</v>
      </c>
      <c r="H14" s="7">
        <v>3841</v>
      </c>
      <c r="I14" s="8">
        <v>206362140</v>
      </c>
      <c r="O14" s="3">
        <f t="shared" ref="O14:W14" ca="1" si="5">OFFSET(A$3,$Y$9+5,)</f>
        <v>6</v>
      </c>
      <c r="P14" s="4" t="str">
        <f t="shared" ca="1" si="5"/>
        <v>Gravity</v>
      </c>
      <c r="Q14" s="5" t="str">
        <f t="shared" ca="1" si="5"/>
        <v>WB</v>
      </c>
      <c r="R14" s="6">
        <f t="shared" ca="1" si="5"/>
        <v>41551</v>
      </c>
      <c r="S14" s="7">
        <f t="shared" ca="1" si="5"/>
        <v>3575</v>
      </c>
      <c r="T14" s="59">
        <f t="shared" ca="1" si="5"/>
        <v>55785112</v>
      </c>
      <c r="U14" s="9">
        <f t="shared" ca="1" si="5"/>
        <v>41767</v>
      </c>
      <c r="V14" s="7">
        <f t="shared" ca="1" si="5"/>
        <v>3820</v>
      </c>
      <c r="W14" s="59">
        <f t="shared" ca="1" si="5"/>
        <v>274092705</v>
      </c>
    </row>
    <row r="15" spans="1:25" x14ac:dyDescent="0.3">
      <c r="A15" s="3">
        <v>13</v>
      </c>
      <c r="B15" s="4" t="s">
        <v>30</v>
      </c>
      <c r="C15" s="5" t="s">
        <v>28</v>
      </c>
      <c r="D15" s="6">
        <v>41446</v>
      </c>
      <c r="E15" s="7">
        <v>3607</v>
      </c>
      <c r="F15" s="8">
        <v>66411834</v>
      </c>
      <c r="G15" s="9">
        <v>41557</v>
      </c>
      <c r="H15" s="7">
        <v>3607</v>
      </c>
      <c r="I15" s="8">
        <v>202359711</v>
      </c>
      <c r="O15" s="3">
        <f t="shared" ref="O15:W15" ca="1" si="6">OFFSET(A$3,$Y$9+6,)</f>
        <v>7</v>
      </c>
      <c r="P15" s="4" t="str">
        <f t="shared" ca="1" si="6"/>
        <v>Monsters University</v>
      </c>
      <c r="Q15" s="5" t="str">
        <f t="shared" ca="1" si="6"/>
        <v>BV</v>
      </c>
      <c r="R15" s="6">
        <f t="shared" ca="1" si="6"/>
        <v>41446</v>
      </c>
      <c r="S15" s="7">
        <f t="shared" ca="1" si="6"/>
        <v>4004</v>
      </c>
      <c r="T15" s="59">
        <f t="shared" ca="1" si="6"/>
        <v>82429469</v>
      </c>
      <c r="U15" s="9">
        <f t="shared" ca="1" si="6"/>
        <v>41627</v>
      </c>
      <c r="V15" s="7">
        <f t="shared" ca="1" si="6"/>
        <v>4004</v>
      </c>
      <c r="W15" s="59">
        <f t="shared" ca="1" si="6"/>
        <v>268492764</v>
      </c>
    </row>
    <row r="16" spans="1:25" x14ac:dyDescent="0.3">
      <c r="A16" s="3">
        <v>14</v>
      </c>
      <c r="B16" s="4" t="s">
        <v>31</v>
      </c>
      <c r="C16" s="5" t="s">
        <v>32</v>
      </c>
      <c r="D16" s="6">
        <v>41355</v>
      </c>
      <c r="E16" s="7">
        <v>4046</v>
      </c>
      <c r="F16" s="8">
        <v>43639736</v>
      </c>
      <c r="G16" s="9">
        <v>41536</v>
      </c>
      <c r="H16" s="7">
        <v>4065</v>
      </c>
      <c r="I16" s="8">
        <v>187168425</v>
      </c>
      <c r="O16" s="3">
        <f t="shared" ref="O16:W16" ca="1" si="7">OFFSET(A$3,$Y$9+7,)</f>
        <v>8</v>
      </c>
      <c r="P16" s="4" t="str">
        <f t="shared" ca="1" si="7"/>
        <v>The Hobbit: The Desolation of Smaug</v>
      </c>
      <c r="Q16" s="5" t="str">
        <f t="shared" ca="1" si="7"/>
        <v>WB</v>
      </c>
      <c r="R16" s="6">
        <f t="shared" ca="1" si="7"/>
        <v>41621</v>
      </c>
      <c r="S16" s="7">
        <f t="shared" ca="1" si="7"/>
        <v>3903</v>
      </c>
      <c r="T16" s="59">
        <f t="shared" ca="1" si="7"/>
        <v>73645197</v>
      </c>
      <c r="U16" s="9">
        <f t="shared" ca="1" si="7"/>
        <v>41746</v>
      </c>
      <c r="V16" s="7">
        <f t="shared" ca="1" si="7"/>
        <v>3928</v>
      </c>
      <c r="W16" s="59">
        <f t="shared" ca="1" si="7"/>
        <v>258366855</v>
      </c>
    </row>
    <row r="17" spans="1:23" x14ac:dyDescent="0.3">
      <c r="A17" s="3">
        <v>15</v>
      </c>
      <c r="B17" s="4" t="s">
        <v>33</v>
      </c>
      <c r="C17" s="5" t="s">
        <v>32</v>
      </c>
      <c r="D17" s="6">
        <v>41453</v>
      </c>
      <c r="E17" s="7">
        <v>3181</v>
      </c>
      <c r="F17" s="8">
        <v>39115043</v>
      </c>
      <c r="G17" s="9">
        <v>41620</v>
      </c>
      <c r="H17" s="7">
        <v>3184</v>
      </c>
      <c r="I17" s="8">
        <v>159582188</v>
      </c>
      <c r="O17" s="3">
        <f t="shared" ref="O17:W17" ca="1" si="8">OFFSET(A$3,$Y$9+8,)</f>
        <v>9</v>
      </c>
      <c r="P17" s="4" t="str">
        <f t="shared" ca="1" si="8"/>
        <v>Fast &amp; Furious 6</v>
      </c>
      <c r="Q17" s="5" t="str">
        <f t="shared" ca="1" si="8"/>
        <v>Uni.</v>
      </c>
      <c r="R17" s="6">
        <f t="shared" ca="1" si="8"/>
        <v>41418</v>
      </c>
      <c r="S17" s="7">
        <f t="shared" ca="1" si="8"/>
        <v>3658</v>
      </c>
      <c r="T17" s="59">
        <f t="shared" ca="1" si="8"/>
        <v>97375245</v>
      </c>
      <c r="U17" s="9">
        <f t="shared" ca="1" si="8"/>
        <v>41522</v>
      </c>
      <c r="V17" s="7">
        <f t="shared" ca="1" si="8"/>
        <v>3771</v>
      </c>
      <c r="W17" s="59">
        <f t="shared" ca="1" si="8"/>
        <v>238679850</v>
      </c>
    </row>
    <row r="18" spans="1:23" x14ac:dyDescent="0.3">
      <c r="A18" s="3">
        <v>16</v>
      </c>
      <c r="B18" s="4" t="s">
        <v>34</v>
      </c>
      <c r="C18" s="5" t="s">
        <v>21</v>
      </c>
      <c r="D18" s="6">
        <v>41493</v>
      </c>
      <c r="E18" s="7">
        <v>3260</v>
      </c>
      <c r="F18" s="8">
        <v>26419396</v>
      </c>
      <c r="G18" s="9">
        <v>41613</v>
      </c>
      <c r="H18" s="7">
        <v>3445</v>
      </c>
      <c r="I18" s="8">
        <v>150394119</v>
      </c>
      <c r="O18" s="3">
        <f t="shared" ref="O18:W18" ca="1" si="9">OFFSET(A$3,$Y$9+9,)</f>
        <v>10</v>
      </c>
      <c r="P18" s="4" t="str">
        <f t="shared" ca="1" si="9"/>
        <v>Oz The Great and Powerful</v>
      </c>
      <c r="Q18" s="5" t="str">
        <f t="shared" ca="1" si="9"/>
        <v>BV</v>
      </c>
      <c r="R18" s="6">
        <f t="shared" ca="1" si="9"/>
        <v>41341</v>
      </c>
      <c r="S18" s="7">
        <f t="shared" ca="1" si="9"/>
        <v>3912</v>
      </c>
      <c r="T18" s="59">
        <f t="shared" ca="1" si="9"/>
        <v>79110453</v>
      </c>
      <c r="U18" s="9">
        <f t="shared" ca="1" si="9"/>
        <v>41473</v>
      </c>
      <c r="V18" s="7">
        <f t="shared" ca="1" si="9"/>
        <v>3912</v>
      </c>
      <c r="W18" s="59">
        <f t="shared" ca="1" si="9"/>
        <v>234911825</v>
      </c>
    </row>
    <row r="19" spans="1:23" x14ac:dyDescent="0.3">
      <c r="A19" s="3">
        <v>17</v>
      </c>
      <c r="B19" s="4" t="s">
        <v>35</v>
      </c>
      <c r="C19" s="5" t="s">
        <v>36</v>
      </c>
      <c r="D19" s="6">
        <v>41621</v>
      </c>
      <c r="E19" s="7">
        <v>6</v>
      </c>
      <c r="F19" s="8">
        <v>740455</v>
      </c>
      <c r="G19" s="9">
        <v>41735</v>
      </c>
      <c r="H19" s="7">
        <v>2629</v>
      </c>
      <c r="I19" s="8">
        <v>150117807</v>
      </c>
    </row>
    <row r="20" spans="1:23" x14ac:dyDescent="0.3">
      <c r="A20" s="3">
        <v>18</v>
      </c>
      <c r="B20" s="4" t="s">
        <v>37</v>
      </c>
      <c r="C20" s="5" t="s">
        <v>21</v>
      </c>
      <c r="D20" s="6">
        <v>41404</v>
      </c>
      <c r="E20" s="7">
        <v>3535</v>
      </c>
      <c r="F20" s="8">
        <v>50085185</v>
      </c>
      <c r="G20" s="9">
        <v>41508</v>
      </c>
      <c r="H20" s="7">
        <v>3550</v>
      </c>
      <c r="I20" s="8">
        <v>144840419</v>
      </c>
    </row>
    <row r="21" spans="1:23" x14ac:dyDescent="0.3">
      <c r="A21" s="3">
        <v>19</v>
      </c>
      <c r="B21" s="4" t="s">
        <v>38</v>
      </c>
      <c r="C21" s="5" t="s">
        <v>21</v>
      </c>
      <c r="D21" s="6">
        <v>41474</v>
      </c>
      <c r="E21" s="7">
        <v>2903</v>
      </c>
      <c r="F21" s="8">
        <v>41855326</v>
      </c>
      <c r="G21" s="9">
        <v>41578</v>
      </c>
      <c r="H21" s="7">
        <v>3115</v>
      </c>
      <c r="I21" s="8">
        <v>137400141</v>
      </c>
    </row>
    <row r="22" spans="1:23" x14ac:dyDescent="0.3">
      <c r="A22" s="3">
        <v>20</v>
      </c>
      <c r="B22" s="4" t="s">
        <v>39</v>
      </c>
      <c r="C22" s="5" t="s">
        <v>19</v>
      </c>
      <c r="D22" s="6">
        <v>41313</v>
      </c>
      <c r="E22" s="7">
        <v>3141</v>
      </c>
      <c r="F22" s="8">
        <v>34551025</v>
      </c>
      <c r="G22" s="9">
        <v>41431</v>
      </c>
      <c r="H22" s="7">
        <v>3230</v>
      </c>
      <c r="I22" s="8">
        <v>134506920</v>
      </c>
    </row>
    <row r="23" spans="1:23" x14ac:dyDescent="0.3">
      <c r="A23" s="3">
        <v>21</v>
      </c>
      <c r="B23" s="4" t="s">
        <v>40</v>
      </c>
      <c r="C23" s="5" t="s">
        <v>36</v>
      </c>
      <c r="D23" s="6">
        <v>41467</v>
      </c>
      <c r="E23" s="7">
        <v>3491</v>
      </c>
      <c r="F23" s="8">
        <v>41508572</v>
      </c>
      <c r="G23" s="9">
        <v>41595</v>
      </c>
      <c r="H23" s="7">
        <v>3491</v>
      </c>
      <c r="I23" s="8">
        <v>133668525</v>
      </c>
    </row>
    <row r="24" spans="1:23" x14ac:dyDescent="0.3">
      <c r="A24" s="3">
        <v>22</v>
      </c>
      <c r="B24" s="4" t="s">
        <v>41</v>
      </c>
      <c r="C24" s="5" t="s">
        <v>32</v>
      </c>
      <c r="D24" s="6">
        <v>41481</v>
      </c>
      <c r="E24" s="7">
        <v>3924</v>
      </c>
      <c r="F24" s="8">
        <v>53113752</v>
      </c>
      <c r="G24" s="9">
        <v>41613</v>
      </c>
      <c r="H24" s="7">
        <v>3924</v>
      </c>
      <c r="I24" s="8">
        <v>132556852</v>
      </c>
    </row>
    <row r="25" spans="1:23" x14ac:dyDescent="0.3">
      <c r="A25" s="3">
        <v>23</v>
      </c>
      <c r="B25" s="4" t="s">
        <v>42</v>
      </c>
      <c r="C25" s="5" t="s">
        <v>28</v>
      </c>
      <c r="D25" s="6">
        <v>41626</v>
      </c>
      <c r="E25" s="7">
        <v>3507</v>
      </c>
      <c r="F25" s="8">
        <v>26232425</v>
      </c>
      <c r="G25" s="9">
        <v>41690</v>
      </c>
      <c r="H25" s="7">
        <v>3507</v>
      </c>
      <c r="I25" s="8">
        <v>125168368</v>
      </c>
    </row>
    <row r="26" spans="1:23" x14ac:dyDescent="0.3">
      <c r="A26" s="3">
        <v>24</v>
      </c>
      <c r="B26" s="4" t="s">
        <v>43</v>
      </c>
      <c r="C26" s="5" t="s">
        <v>19</v>
      </c>
      <c r="D26" s="6">
        <v>41633</v>
      </c>
      <c r="E26" s="7">
        <v>2</v>
      </c>
      <c r="F26" s="8">
        <v>90872</v>
      </c>
      <c r="G26" s="9">
        <v>41739</v>
      </c>
      <c r="H26" s="7">
        <v>3285</v>
      </c>
      <c r="I26" s="8">
        <v>125095601</v>
      </c>
    </row>
    <row r="27" spans="1:23" x14ac:dyDescent="0.3">
      <c r="A27" s="3">
        <v>25</v>
      </c>
      <c r="B27" s="4" t="s">
        <v>44</v>
      </c>
      <c r="C27" s="5" t="s">
        <v>28</v>
      </c>
      <c r="D27" s="6">
        <v>41361</v>
      </c>
      <c r="E27" s="7">
        <v>3719</v>
      </c>
      <c r="F27" s="8">
        <v>40501814</v>
      </c>
      <c r="G27" s="9">
        <v>41473</v>
      </c>
      <c r="H27" s="7">
        <v>3734</v>
      </c>
      <c r="I27" s="8">
        <v>122523060</v>
      </c>
    </row>
    <row r="28" spans="1:23" x14ac:dyDescent="0.3">
      <c r="A28" s="3">
        <v>26</v>
      </c>
      <c r="B28" s="4" t="s">
        <v>45</v>
      </c>
      <c r="C28" s="5" t="s">
        <v>36</v>
      </c>
      <c r="D28" s="6">
        <v>41544</v>
      </c>
      <c r="E28" s="7">
        <v>4001</v>
      </c>
      <c r="F28" s="8">
        <v>34017930</v>
      </c>
      <c r="G28" s="9">
        <v>41714</v>
      </c>
      <c r="H28" s="7">
        <v>4001</v>
      </c>
      <c r="I28" s="8">
        <v>119793567</v>
      </c>
    </row>
    <row r="29" spans="1:23" x14ac:dyDescent="0.3">
      <c r="A29" s="3">
        <v>27</v>
      </c>
      <c r="B29" s="4" t="s">
        <v>46</v>
      </c>
      <c r="C29" s="5" t="s">
        <v>47</v>
      </c>
      <c r="D29" s="6">
        <v>41425</v>
      </c>
      <c r="E29" s="7">
        <v>2925</v>
      </c>
      <c r="F29" s="8">
        <v>29350389</v>
      </c>
      <c r="G29" s="9">
        <v>41543</v>
      </c>
      <c r="H29" s="7">
        <v>3082</v>
      </c>
      <c r="I29" s="8">
        <v>117723989</v>
      </c>
    </row>
    <row r="30" spans="1:23" x14ac:dyDescent="0.3">
      <c r="A30" s="3">
        <v>28</v>
      </c>
      <c r="B30" s="4" t="s">
        <v>48</v>
      </c>
      <c r="C30" s="5" t="s">
        <v>28</v>
      </c>
      <c r="D30" s="6">
        <v>41633</v>
      </c>
      <c r="E30" s="7">
        <v>2537</v>
      </c>
      <c r="F30" s="8">
        <v>18361578</v>
      </c>
      <c r="G30" s="9">
        <v>41732</v>
      </c>
      <c r="H30" s="7">
        <v>2557</v>
      </c>
      <c r="I30" s="8">
        <v>116900694</v>
      </c>
    </row>
    <row r="31" spans="1:23" x14ac:dyDescent="0.3">
      <c r="A31" s="3">
        <v>29</v>
      </c>
      <c r="B31" s="4" t="s">
        <v>49</v>
      </c>
      <c r="C31" s="5" t="s">
        <v>50</v>
      </c>
      <c r="D31" s="6">
        <v>41502</v>
      </c>
      <c r="E31" s="7">
        <v>2933</v>
      </c>
      <c r="F31" s="8">
        <v>24637312</v>
      </c>
      <c r="G31" s="9">
        <v>41683</v>
      </c>
      <c r="H31" s="7">
        <v>3330</v>
      </c>
      <c r="I31" s="8">
        <v>116632095</v>
      </c>
    </row>
    <row r="32" spans="1:23" x14ac:dyDescent="0.3">
      <c r="A32" s="3">
        <v>30</v>
      </c>
      <c r="B32" s="4" t="s">
        <v>51</v>
      </c>
      <c r="C32" s="5" t="s">
        <v>21</v>
      </c>
      <c r="D32" s="6">
        <v>41417</v>
      </c>
      <c r="E32" s="7">
        <v>3555</v>
      </c>
      <c r="F32" s="8">
        <v>41671198</v>
      </c>
      <c r="G32" s="9">
        <v>41501</v>
      </c>
      <c r="H32" s="7">
        <v>3565</v>
      </c>
      <c r="I32" s="8">
        <v>112200072</v>
      </c>
    </row>
    <row r="33" spans="1:9" x14ac:dyDescent="0.3">
      <c r="A33" s="3">
        <v>31</v>
      </c>
      <c r="B33" s="4" t="s">
        <v>52</v>
      </c>
      <c r="C33" s="5" t="s">
        <v>32</v>
      </c>
      <c r="D33" s="6">
        <v>41418</v>
      </c>
      <c r="E33" s="7">
        <v>3882</v>
      </c>
      <c r="F33" s="8">
        <v>33531068</v>
      </c>
      <c r="G33" s="9">
        <v>41536</v>
      </c>
      <c r="H33" s="7">
        <v>3894</v>
      </c>
      <c r="I33" s="8">
        <v>107518682</v>
      </c>
    </row>
    <row r="34" spans="1:9" x14ac:dyDescent="0.3">
      <c r="A34" s="3">
        <v>32</v>
      </c>
      <c r="B34" s="4" t="s">
        <v>53</v>
      </c>
      <c r="C34" s="5" t="s">
        <v>36</v>
      </c>
      <c r="D34" s="6">
        <v>41558</v>
      </c>
      <c r="E34" s="7">
        <v>3020</v>
      </c>
      <c r="F34" s="8">
        <v>25718314</v>
      </c>
      <c r="G34" s="9">
        <v>41700</v>
      </c>
      <c r="H34" s="7">
        <v>3143</v>
      </c>
      <c r="I34" s="8">
        <v>107100855</v>
      </c>
    </row>
    <row r="35" spans="1:9" x14ac:dyDescent="0.3">
      <c r="A35" s="3">
        <v>33</v>
      </c>
      <c r="B35" s="4" t="s">
        <v>54</v>
      </c>
      <c r="C35" s="5" t="s">
        <v>28</v>
      </c>
      <c r="D35" s="6">
        <v>41572</v>
      </c>
      <c r="E35" s="7">
        <v>3336</v>
      </c>
      <c r="F35" s="8">
        <v>32055177</v>
      </c>
      <c r="G35" s="9">
        <v>41662</v>
      </c>
      <c r="H35" s="7">
        <v>3345</v>
      </c>
      <c r="I35" s="8">
        <v>102003019</v>
      </c>
    </row>
    <row r="36" spans="1:9" x14ac:dyDescent="0.3">
      <c r="A36" s="3">
        <v>34</v>
      </c>
      <c r="B36" s="4" t="s">
        <v>55</v>
      </c>
      <c r="C36" s="5" t="s">
        <v>21</v>
      </c>
      <c r="D36" s="6">
        <v>41467</v>
      </c>
      <c r="E36" s="7">
        <v>3275</v>
      </c>
      <c r="F36" s="8">
        <v>37285325</v>
      </c>
      <c r="G36" s="9">
        <v>41564</v>
      </c>
      <c r="H36" s="7">
        <v>3285</v>
      </c>
      <c r="I36" s="8">
        <v>101802906</v>
      </c>
    </row>
    <row r="37" spans="1:9" x14ac:dyDescent="0.3">
      <c r="A37" s="3">
        <v>35</v>
      </c>
      <c r="B37" s="4" t="s">
        <v>56</v>
      </c>
      <c r="C37" s="5" t="s">
        <v>36</v>
      </c>
      <c r="D37" s="6">
        <v>41437</v>
      </c>
      <c r="E37" s="7">
        <v>3055</v>
      </c>
      <c r="F37" s="8">
        <v>20719162</v>
      </c>
      <c r="G37" s="9">
        <v>41553</v>
      </c>
      <c r="H37" s="7">
        <v>3055</v>
      </c>
      <c r="I37" s="8">
        <v>101470202</v>
      </c>
    </row>
    <row r="38" spans="1:9" x14ac:dyDescent="0.3">
      <c r="A38" s="3">
        <v>36</v>
      </c>
      <c r="B38" s="4" t="s">
        <v>57</v>
      </c>
      <c r="C38" s="5" t="s">
        <v>58</v>
      </c>
      <c r="D38" s="6">
        <v>41355</v>
      </c>
      <c r="E38" s="7">
        <v>3098</v>
      </c>
      <c r="F38" s="8">
        <v>30373794</v>
      </c>
      <c r="G38" s="9">
        <v>41466</v>
      </c>
      <c r="H38" s="7">
        <v>3106</v>
      </c>
      <c r="I38" s="8">
        <v>98925640</v>
      </c>
    </row>
    <row r="39" spans="1:9" x14ac:dyDescent="0.3">
      <c r="A39" s="3">
        <v>37</v>
      </c>
      <c r="B39" s="4">
        <v>42</v>
      </c>
      <c r="C39" s="5" t="s">
        <v>21</v>
      </c>
      <c r="D39" s="6">
        <v>41376</v>
      </c>
      <c r="E39" s="7">
        <v>3003</v>
      </c>
      <c r="F39" s="8">
        <v>27487144</v>
      </c>
      <c r="G39" s="9">
        <v>41480</v>
      </c>
      <c r="H39" s="7">
        <v>3405</v>
      </c>
      <c r="I39" s="8">
        <v>95020213</v>
      </c>
    </row>
    <row r="40" spans="1:9" x14ac:dyDescent="0.3">
      <c r="A40" s="3">
        <v>38</v>
      </c>
      <c r="B40" s="4" t="s">
        <v>59</v>
      </c>
      <c r="C40" s="5" t="s">
        <v>60</v>
      </c>
      <c r="D40" s="6">
        <v>41495</v>
      </c>
      <c r="E40" s="7">
        <v>3284</v>
      </c>
      <c r="F40" s="8">
        <v>29807393</v>
      </c>
      <c r="G40" s="9">
        <v>41602</v>
      </c>
      <c r="H40" s="7">
        <v>3284</v>
      </c>
      <c r="I40" s="8">
        <v>93050117</v>
      </c>
    </row>
    <row r="41" spans="1:9" x14ac:dyDescent="0.3">
      <c r="A41" s="3">
        <v>39</v>
      </c>
      <c r="B41" s="4" t="s">
        <v>61</v>
      </c>
      <c r="C41" s="5" t="s">
        <v>16</v>
      </c>
      <c r="D41" s="6">
        <v>41495</v>
      </c>
      <c r="E41" s="7">
        <v>3702</v>
      </c>
      <c r="F41" s="8">
        <v>22232291</v>
      </c>
      <c r="G41" s="9">
        <v>41627</v>
      </c>
      <c r="H41" s="7">
        <v>3716</v>
      </c>
      <c r="I41" s="8">
        <v>90288712</v>
      </c>
    </row>
    <row r="42" spans="1:9" x14ac:dyDescent="0.3">
      <c r="A42" s="3">
        <v>40</v>
      </c>
      <c r="B42" s="4" t="s">
        <v>62</v>
      </c>
      <c r="C42" s="5" t="s">
        <v>16</v>
      </c>
      <c r="D42" s="6">
        <v>41458</v>
      </c>
      <c r="E42" s="7">
        <v>3904</v>
      </c>
      <c r="F42" s="8">
        <v>29210849</v>
      </c>
      <c r="G42" s="9">
        <v>41557</v>
      </c>
      <c r="H42" s="7">
        <v>3904</v>
      </c>
      <c r="I42" s="8">
        <v>89302115</v>
      </c>
    </row>
    <row r="43" spans="1:9" x14ac:dyDescent="0.3">
      <c r="A43" s="3">
        <v>41</v>
      </c>
      <c r="B43" s="4" t="s">
        <v>63</v>
      </c>
      <c r="C43" s="5" t="s">
        <v>19</v>
      </c>
      <c r="D43" s="6">
        <v>41383</v>
      </c>
      <c r="E43" s="7">
        <v>3783</v>
      </c>
      <c r="F43" s="8">
        <v>37054485</v>
      </c>
      <c r="G43" s="9">
        <v>41452</v>
      </c>
      <c r="H43" s="7">
        <v>3792</v>
      </c>
      <c r="I43" s="8">
        <v>89107235</v>
      </c>
    </row>
    <row r="44" spans="1:9" x14ac:dyDescent="0.3">
      <c r="A44" s="3">
        <v>42</v>
      </c>
      <c r="B44" s="4" t="s">
        <v>64</v>
      </c>
      <c r="C44" s="5" t="s">
        <v>58</v>
      </c>
      <c r="D44" s="6">
        <v>41530</v>
      </c>
      <c r="E44" s="7">
        <v>3049</v>
      </c>
      <c r="F44" s="8">
        <v>40272103</v>
      </c>
      <c r="G44" s="9">
        <v>41627</v>
      </c>
      <c r="H44" s="7">
        <v>3155</v>
      </c>
      <c r="I44" s="8">
        <v>83586447</v>
      </c>
    </row>
    <row r="45" spans="1:9" x14ac:dyDescent="0.3">
      <c r="A45" s="3">
        <v>43</v>
      </c>
      <c r="B45" s="4" t="s">
        <v>65</v>
      </c>
      <c r="C45" s="5" t="s">
        <v>16</v>
      </c>
      <c r="D45" s="6">
        <v>41621</v>
      </c>
      <c r="E45" s="7">
        <v>15</v>
      </c>
      <c r="F45" s="8">
        <v>413373</v>
      </c>
      <c r="G45" s="9">
        <v>41746</v>
      </c>
      <c r="H45" s="7">
        <v>2671</v>
      </c>
      <c r="I45" s="8">
        <v>83301580</v>
      </c>
    </row>
    <row r="46" spans="1:9" x14ac:dyDescent="0.3">
      <c r="A46" s="3">
        <v>44</v>
      </c>
      <c r="B46" s="4" t="s">
        <v>66</v>
      </c>
      <c r="C46" s="5" t="s">
        <v>32</v>
      </c>
      <c r="D46" s="6">
        <v>41472</v>
      </c>
      <c r="E46" s="7">
        <v>3806</v>
      </c>
      <c r="F46" s="8">
        <v>21312625</v>
      </c>
      <c r="G46" s="9">
        <v>41620</v>
      </c>
      <c r="H46" s="7">
        <v>3809</v>
      </c>
      <c r="I46" s="8">
        <v>83028128</v>
      </c>
    </row>
    <row r="47" spans="1:9" x14ac:dyDescent="0.3">
      <c r="A47" s="3">
        <v>45</v>
      </c>
      <c r="B47" s="4" t="s">
        <v>67</v>
      </c>
      <c r="C47" s="5" t="s">
        <v>19</v>
      </c>
      <c r="D47" s="6">
        <v>41488</v>
      </c>
      <c r="E47" s="7">
        <v>3025</v>
      </c>
      <c r="F47" s="8">
        <v>27059130</v>
      </c>
      <c r="G47" s="9">
        <v>41571</v>
      </c>
      <c r="H47" s="7">
        <v>3028</v>
      </c>
      <c r="I47" s="8">
        <v>75612460</v>
      </c>
    </row>
    <row r="48" spans="1:9" x14ac:dyDescent="0.3">
      <c r="A48" s="3">
        <v>46</v>
      </c>
      <c r="B48" s="4" t="s">
        <v>68</v>
      </c>
      <c r="C48" s="5" t="s">
        <v>36</v>
      </c>
      <c r="D48" s="6">
        <v>41453</v>
      </c>
      <c r="E48" s="7">
        <v>3222</v>
      </c>
      <c r="F48" s="8">
        <v>24852258</v>
      </c>
      <c r="G48" s="9">
        <v>41532</v>
      </c>
      <c r="H48" s="7">
        <v>3222</v>
      </c>
      <c r="I48" s="8">
        <v>73103784</v>
      </c>
    </row>
    <row r="49" spans="1:9" x14ac:dyDescent="0.3">
      <c r="A49" s="3">
        <v>47</v>
      </c>
      <c r="B49" s="4" t="s">
        <v>69</v>
      </c>
      <c r="C49" s="5" t="s">
        <v>19</v>
      </c>
      <c r="D49" s="6">
        <v>41292</v>
      </c>
      <c r="E49" s="7">
        <v>2647</v>
      </c>
      <c r="F49" s="8">
        <v>28402310</v>
      </c>
      <c r="G49" s="9">
        <v>41368</v>
      </c>
      <c r="H49" s="7">
        <v>2781</v>
      </c>
      <c r="I49" s="8">
        <v>71628180</v>
      </c>
    </row>
    <row r="50" spans="1:9" x14ac:dyDescent="0.3">
      <c r="A50" s="3">
        <v>48</v>
      </c>
      <c r="B50" s="4" t="s">
        <v>70</v>
      </c>
      <c r="C50" s="5" t="s">
        <v>71</v>
      </c>
      <c r="D50" s="6">
        <v>41319</v>
      </c>
      <c r="E50" s="7">
        <v>3223</v>
      </c>
      <c r="F50" s="8">
        <v>21401594</v>
      </c>
      <c r="G50" s="9">
        <v>41424</v>
      </c>
      <c r="H50" s="7">
        <v>3223</v>
      </c>
      <c r="I50" s="8">
        <v>71349120</v>
      </c>
    </row>
    <row r="51" spans="1:9" x14ac:dyDescent="0.3">
      <c r="A51" s="3">
        <v>49</v>
      </c>
      <c r="B51" s="4" t="s">
        <v>72</v>
      </c>
      <c r="C51" s="5" t="s">
        <v>36</v>
      </c>
      <c r="D51" s="6">
        <v>41486</v>
      </c>
      <c r="E51" s="7">
        <v>3866</v>
      </c>
      <c r="F51" s="8">
        <v>17548389</v>
      </c>
      <c r="G51" s="9">
        <v>41595</v>
      </c>
      <c r="H51" s="7">
        <v>3867</v>
      </c>
      <c r="I51" s="8">
        <v>71017784</v>
      </c>
    </row>
    <row r="52" spans="1:9" x14ac:dyDescent="0.3">
      <c r="A52" s="3">
        <v>50</v>
      </c>
      <c r="B52" s="4" t="s">
        <v>73</v>
      </c>
      <c r="C52" s="5" t="s">
        <v>19</v>
      </c>
      <c r="D52" s="6">
        <v>41593</v>
      </c>
      <c r="E52" s="7">
        <v>2024</v>
      </c>
      <c r="F52" s="8">
        <v>30107555</v>
      </c>
      <c r="G52" s="9">
        <v>41648</v>
      </c>
      <c r="H52" s="7">
        <v>2041</v>
      </c>
      <c r="I52" s="8">
        <v>70525195</v>
      </c>
    </row>
    <row r="53" spans="1:9" x14ac:dyDescent="0.3">
      <c r="A53" s="3">
        <v>51</v>
      </c>
      <c r="B53" s="4" t="s">
        <v>74</v>
      </c>
      <c r="C53" s="5" t="s">
        <v>32</v>
      </c>
      <c r="D53" s="6">
        <v>41493</v>
      </c>
      <c r="E53" s="7">
        <v>3031</v>
      </c>
      <c r="F53" s="8">
        <v>14401054</v>
      </c>
      <c r="G53" s="9">
        <v>41669</v>
      </c>
      <c r="H53" s="7">
        <v>3080</v>
      </c>
      <c r="I53" s="8">
        <v>68559554</v>
      </c>
    </row>
    <row r="54" spans="1:9" x14ac:dyDescent="0.3">
      <c r="A54" s="3">
        <v>52</v>
      </c>
      <c r="B54" s="4" t="s">
        <v>75</v>
      </c>
      <c r="C54" s="5" t="s">
        <v>32</v>
      </c>
      <c r="D54" s="6">
        <v>41319</v>
      </c>
      <c r="E54" s="7">
        <v>3553</v>
      </c>
      <c r="F54" s="8">
        <v>24834845</v>
      </c>
      <c r="G54" s="9">
        <v>41417</v>
      </c>
      <c r="H54" s="7">
        <v>3555</v>
      </c>
      <c r="I54" s="8">
        <v>67349198</v>
      </c>
    </row>
    <row r="55" spans="1:9" x14ac:dyDescent="0.3">
      <c r="A55" s="3">
        <v>53</v>
      </c>
      <c r="B55" s="4" t="s">
        <v>76</v>
      </c>
      <c r="C55" s="5" t="s">
        <v>47</v>
      </c>
      <c r="D55" s="6">
        <v>41306</v>
      </c>
      <c r="E55" s="7">
        <v>3009</v>
      </c>
      <c r="F55" s="8">
        <v>20353967</v>
      </c>
      <c r="G55" s="9">
        <v>41403</v>
      </c>
      <c r="H55" s="7">
        <v>3009</v>
      </c>
      <c r="I55" s="8">
        <v>66380662</v>
      </c>
    </row>
    <row r="56" spans="1:9" x14ac:dyDescent="0.3">
      <c r="A56" s="3">
        <v>54</v>
      </c>
      <c r="B56" s="4" t="s">
        <v>77</v>
      </c>
      <c r="C56" s="5" t="s">
        <v>78</v>
      </c>
      <c r="D56" s="6">
        <v>41334</v>
      </c>
      <c r="E56" s="7">
        <v>3525</v>
      </c>
      <c r="F56" s="8">
        <v>27202226</v>
      </c>
      <c r="G56" s="9">
        <v>41438</v>
      </c>
      <c r="H56" s="7">
        <v>3525</v>
      </c>
      <c r="I56" s="8">
        <v>65187603</v>
      </c>
    </row>
    <row r="57" spans="1:9" x14ac:dyDescent="0.3">
      <c r="A57" s="3">
        <v>55</v>
      </c>
      <c r="B57" s="4" t="s">
        <v>79</v>
      </c>
      <c r="C57" s="5" t="s">
        <v>19</v>
      </c>
      <c r="D57" s="6">
        <v>41432</v>
      </c>
      <c r="E57" s="7">
        <v>2536</v>
      </c>
      <c r="F57" s="8">
        <v>34058360</v>
      </c>
      <c r="G57" s="9">
        <v>41494</v>
      </c>
      <c r="H57" s="7">
        <v>2591</v>
      </c>
      <c r="I57" s="8">
        <v>64473115</v>
      </c>
    </row>
    <row r="58" spans="1:9" x14ac:dyDescent="0.3">
      <c r="A58" s="3">
        <v>56</v>
      </c>
      <c r="B58" s="4" t="s">
        <v>80</v>
      </c>
      <c r="C58" s="5" t="s">
        <v>81</v>
      </c>
      <c r="D58" s="6">
        <v>41579</v>
      </c>
      <c r="E58" s="7">
        <v>3065</v>
      </c>
      <c r="F58" s="8">
        <v>16334566</v>
      </c>
      <c r="G58" s="9">
        <v>41690</v>
      </c>
      <c r="H58" s="7">
        <v>3237</v>
      </c>
      <c r="I58" s="8">
        <v>63914167</v>
      </c>
    </row>
    <row r="59" spans="1:9" x14ac:dyDescent="0.3">
      <c r="A59" s="3">
        <v>57</v>
      </c>
      <c r="B59" s="4" t="s">
        <v>82</v>
      </c>
      <c r="C59" s="5" t="s">
        <v>47</v>
      </c>
      <c r="D59" s="6">
        <v>41579</v>
      </c>
      <c r="E59" s="7">
        <v>3407</v>
      </c>
      <c r="F59" s="8">
        <v>27017351</v>
      </c>
      <c r="G59" s="9">
        <v>41648</v>
      </c>
      <c r="H59" s="7">
        <v>3407</v>
      </c>
      <c r="I59" s="8">
        <v>61737191</v>
      </c>
    </row>
    <row r="60" spans="1:9" x14ac:dyDescent="0.3">
      <c r="A60" s="3">
        <v>58</v>
      </c>
      <c r="B60" s="4" t="s">
        <v>83</v>
      </c>
      <c r="C60" s="5" t="s">
        <v>21</v>
      </c>
      <c r="D60" s="6">
        <v>41537</v>
      </c>
      <c r="E60" s="7">
        <v>3260</v>
      </c>
      <c r="F60" s="8">
        <v>20817053</v>
      </c>
      <c r="G60" s="9">
        <v>41613</v>
      </c>
      <c r="H60" s="7">
        <v>3290</v>
      </c>
      <c r="I60" s="8">
        <v>61002302</v>
      </c>
    </row>
    <row r="61" spans="1:9" x14ac:dyDescent="0.3">
      <c r="A61" s="3">
        <v>59</v>
      </c>
      <c r="B61" s="4" t="s">
        <v>84</v>
      </c>
      <c r="C61" s="5" t="s">
        <v>36</v>
      </c>
      <c r="D61" s="6">
        <v>41425</v>
      </c>
      <c r="E61" s="7">
        <v>3401</v>
      </c>
      <c r="F61" s="8">
        <v>27520040</v>
      </c>
      <c r="G61" s="9">
        <v>41504</v>
      </c>
      <c r="H61" s="7">
        <v>3401</v>
      </c>
      <c r="I61" s="8">
        <v>60522097</v>
      </c>
    </row>
    <row r="62" spans="1:9" x14ac:dyDescent="0.3">
      <c r="A62" s="3">
        <v>60</v>
      </c>
      <c r="B62" s="4" t="s">
        <v>85</v>
      </c>
      <c r="C62" s="5" t="s">
        <v>32</v>
      </c>
      <c r="D62" s="6">
        <v>41633</v>
      </c>
      <c r="E62" s="7">
        <v>2909</v>
      </c>
      <c r="F62" s="8">
        <v>12765508</v>
      </c>
      <c r="G62" s="9">
        <v>41739</v>
      </c>
      <c r="H62" s="7">
        <v>2922</v>
      </c>
      <c r="I62" s="8">
        <v>58236838</v>
      </c>
    </row>
    <row r="63" spans="1:9" x14ac:dyDescent="0.3">
      <c r="A63" s="3">
        <v>61</v>
      </c>
      <c r="B63" s="4" t="s">
        <v>86</v>
      </c>
      <c r="C63" s="5" t="s">
        <v>50</v>
      </c>
      <c r="D63" s="6">
        <v>41320</v>
      </c>
      <c r="E63" s="7">
        <v>3288</v>
      </c>
      <c r="F63" s="8">
        <v>15891055</v>
      </c>
      <c r="G63" s="9">
        <v>41480</v>
      </c>
      <c r="H63" s="7">
        <v>3353</v>
      </c>
      <c r="I63" s="8">
        <v>57012977</v>
      </c>
    </row>
    <row r="64" spans="1:9"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2">
    <mergeCell ref="A1:I1"/>
    <mergeCell ref="O7:W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Scroll Bar 1">
              <controlPr defaultSize="0" autoPict="0">
                <anchor moveWithCells="1">
                  <from>
                    <xdr:col>23</xdr:col>
                    <xdr:colOff>22860</xdr:colOff>
                    <xdr:row>8</xdr:row>
                    <xdr:rowOff>7620</xdr:rowOff>
                  </from>
                  <to>
                    <xdr:col>23</xdr:col>
                    <xdr:colOff>297180</xdr:colOff>
                    <xdr:row>18</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2"/>
  <sheetViews>
    <sheetView workbookViewId="0">
      <selection activeCell="K1" sqref="K1"/>
    </sheetView>
  </sheetViews>
  <sheetFormatPr defaultRowHeight="15.6" x14ac:dyDescent="0.3"/>
  <cols>
    <col min="1" max="1" width="4.8984375" bestFit="1" customWidth="1"/>
    <col min="2" max="2" width="33.69921875" customWidth="1"/>
    <col min="3" max="3" width="8.3984375" bestFit="1" customWidth="1"/>
    <col min="4" max="4" width="9.59765625" customWidth="1"/>
    <col min="5" max="5" width="7.69921875" bestFit="1" customWidth="1"/>
    <col min="6" max="6" width="12.3984375" bestFit="1" customWidth="1"/>
    <col min="7" max="7" width="8.796875" customWidth="1"/>
    <col min="8" max="8" width="7.69921875" bestFit="1" customWidth="1"/>
    <col min="9" max="9" width="12.3984375" bestFit="1" customWidth="1"/>
    <col min="12" max="12" width="17.69921875" customWidth="1"/>
  </cols>
  <sheetData>
    <row r="1" spans="1:13" x14ac:dyDescent="0.3">
      <c r="A1" s="62" t="s">
        <v>3</v>
      </c>
      <c r="B1" s="63"/>
      <c r="C1" s="63"/>
      <c r="D1" s="63"/>
      <c r="E1" s="63"/>
      <c r="F1" s="63"/>
      <c r="G1" s="63"/>
      <c r="H1" s="63"/>
      <c r="I1" s="64"/>
      <c r="K1" s="10" t="s">
        <v>139</v>
      </c>
    </row>
    <row r="2" spans="1:13" ht="31.2" x14ac:dyDescent="0.3">
      <c r="A2" s="1" t="s">
        <v>4</v>
      </c>
      <c r="B2" s="1" t="s">
        <v>5</v>
      </c>
      <c r="C2" s="1" t="s">
        <v>6</v>
      </c>
      <c r="D2" s="1" t="s">
        <v>7</v>
      </c>
      <c r="E2" s="2" t="s">
        <v>8</v>
      </c>
      <c r="F2" s="2" t="s">
        <v>9</v>
      </c>
      <c r="G2" s="1" t="s">
        <v>10</v>
      </c>
      <c r="H2" s="2" t="s">
        <v>11</v>
      </c>
      <c r="I2" s="2" t="s">
        <v>12</v>
      </c>
      <c r="K2" s="11">
        <v>1</v>
      </c>
      <c r="L2" t="s">
        <v>500</v>
      </c>
    </row>
    <row r="3" spans="1:13" x14ac:dyDescent="0.3">
      <c r="A3" s="3">
        <v>1</v>
      </c>
      <c r="B3" s="4" t="s">
        <v>13</v>
      </c>
      <c r="C3" s="5" t="s">
        <v>14</v>
      </c>
      <c r="D3" s="6">
        <v>41600</v>
      </c>
      <c r="E3" s="7">
        <v>4163</v>
      </c>
      <c r="F3" s="8">
        <v>158074286</v>
      </c>
      <c r="G3" s="9">
        <v>41732</v>
      </c>
      <c r="H3" s="7">
        <v>4163</v>
      </c>
      <c r="I3" s="8">
        <v>424668047</v>
      </c>
      <c r="K3" s="11">
        <v>2</v>
      </c>
      <c r="L3" t="s">
        <v>492</v>
      </c>
    </row>
    <row r="4" spans="1:13" x14ac:dyDescent="0.3">
      <c r="A4" s="3">
        <v>2</v>
      </c>
      <c r="B4" s="4" t="s">
        <v>15</v>
      </c>
      <c r="C4" s="5" t="s">
        <v>16</v>
      </c>
      <c r="D4" s="6">
        <v>41397</v>
      </c>
      <c r="E4" s="7">
        <v>4253</v>
      </c>
      <c r="F4" s="8">
        <v>174144585</v>
      </c>
      <c r="G4" s="9">
        <v>41529</v>
      </c>
      <c r="H4" s="7">
        <v>4253</v>
      </c>
      <c r="I4" s="8">
        <v>409013994</v>
      </c>
      <c r="L4" t="s">
        <v>493</v>
      </c>
    </row>
    <row r="5" spans="1:13" x14ac:dyDescent="0.3">
      <c r="A5" s="3">
        <v>3</v>
      </c>
      <c r="B5" s="4" t="s">
        <v>17</v>
      </c>
      <c r="C5" s="5" t="s">
        <v>16</v>
      </c>
      <c r="D5" s="6">
        <v>41600</v>
      </c>
      <c r="E5" s="7">
        <v>1</v>
      </c>
      <c r="F5" s="8">
        <v>243390</v>
      </c>
      <c r="G5" s="9">
        <v>41837</v>
      </c>
      <c r="H5" s="7">
        <v>3742</v>
      </c>
      <c r="I5" s="8">
        <v>400738009</v>
      </c>
      <c r="L5" t="s">
        <v>494</v>
      </c>
    </row>
    <row r="6" spans="1:13" x14ac:dyDescent="0.3">
      <c r="A6" s="3">
        <v>4</v>
      </c>
      <c r="B6" s="4" t="s">
        <v>18</v>
      </c>
      <c r="C6" s="5" t="s">
        <v>19</v>
      </c>
      <c r="D6" s="6">
        <v>41458</v>
      </c>
      <c r="E6" s="7">
        <v>3997</v>
      </c>
      <c r="F6" s="8">
        <v>83517315</v>
      </c>
      <c r="G6" s="9">
        <v>41655</v>
      </c>
      <c r="H6" s="7">
        <v>4003</v>
      </c>
      <c r="I6" s="8">
        <v>368061265</v>
      </c>
      <c r="L6" t="s">
        <v>495</v>
      </c>
    </row>
    <row r="7" spans="1:13" x14ac:dyDescent="0.3">
      <c r="A7" s="3">
        <v>5</v>
      </c>
      <c r="B7" s="4" t="s">
        <v>20</v>
      </c>
      <c r="C7" s="5" t="s">
        <v>21</v>
      </c>
      <c r="D7" s="6">
        <v>41439</v>
      </c>
      <c r="E7" s="7">
        <v>4207</v>
      </c>
      <c r="F7" s="8">
        <v>116619362</v>
      </c>
      <c r="G7" s="9">
        <v>41536</v>
      </c>
      <c r="H7" s="7">
        <v>4207</v>
      </c>
      <c r="I7" s="8">
        <v>291045518</v>
      </c>
      <c r="L7" t="s">
        <v>496</v>
      </c>
    </row>
    <row r="8" spans="1:13" x14ac:dyDescent="0.3">
      <c r="A8" s="3">
        <v>6</v>
      </c>
      <c r="B8" s="4" t="s">
        <v>22</v>
      </c>
      <c r="C8" s="5" t="s">
        <v>21</v>
      </c>
      <c r="D8" s="6">
        <v>41551</v>
      </c>
      <c r="E8" s="7">
        <v>3575</v>
      </c>
      <c r="F8" s="8">
        <v>55785112</v>
      </c>
      <c r="G8" s="9">
        <v>41767</v>
      </c>
      <c r="H8" s="7">
        <v>3820</v>
      </c>
      <c r="I8" s="8">
        <v>274092705</v>
      </c>
      <c r="L8" t="s">
        <v>497</v>
      </c>
    </row>
    <row r="9" spans="1:13" x14ac:dyDescent="0.3">
      <c r="A9" s="3">
        <v>7</v>
      </c>
      <c r="B9" s="4" t="s">
        <v>23</v>
      </c>
      <c r="C9" s="5" t="s">
        <v>16</v>
      </c>
      <c r="D9" s="6">
        <v>41446</v>
      </c>
      <c r="E9" s="7">
        <v>4004</v>
      </c>
      <c r="F9" s="8">
        <v>82429469</v>
      </c>
      <c r="G9" s="9">
        <v>41627</v>
      </c>
      <c r="H9" s="7">
        <v>4004</v>
      </c>
      <c r="I9" s="8">
        <v>268492764</v>
      </c>
      <c r="L9" t="s">
        <v>503</v>
      </c>
    </row>
    <row r="10" spans="1:13" x14ac:dyDescent="0.3">
      <c r="A10" s="3">
        <v>8</v>
      </c>
      <c r="B10" s="4" t="s">
        <v>24</v>
      </c>
      <c r="C10" s="5" t="s">
        <v>21</v>
      </c>
      <c r="D10" s="6">
        <v>41621</v>
      </c>
      <c r="E10" s="7">
        <v>3903</v>
      </c>
      <c r="F10" s="8">
        <v>73645197</v>
      </c>
      <c r="G10" s="9">
        <v>41746</v>
      </c>
      <c r="H10" s="7">
        <v>3928</v>
      </c>
      <c r="I10" s="8">
        <v>258366855</v>
      </c>
      <c r="L10" s="13" t="s">
        <v>510</v>
      </c>
      <c r="M10" t="s">
        <v>511</v>
      </c>
    </row>
    <row r="11" spans="1:13" x14ac:dyDescent="0.3">
      <c r="A11" s="3">
        <v>9</v>
      </c>
      <c r="B11" s="4" t="s">
        <v>25</v>
      </c>
      <c r="C11" s="5" t="s">
        <v>19</v>
      </c>
      <c r="D11" s="6">
        <v>41418</v>
      </c>
      <c r="E11" s="7">
        <v>3658</v>
      </c>
      <c r="F11" s="8">
        <v>97375245</v>
      </c>
      <c r="G11" s="9">
        <v>41522</v>
      </c>
      <c r="H11" s="7">
        <v>3771</v>
      </c>
      <c r="I11" s="8">
        <v>238679850</v>
      </c>
      <c r="L11" s="13" t="s">
        <v>504</v>
      </c>
      <c r="M11" t="s">
        <v>507</v>
      </c>
    </row>
    <row r="12" spans="1:13" x14ac:dyDescent="0.3">
      <c r="A12" s="3">
        <v>10</v>
      </c>
      <c r="B12" s="4" t="s">
        <v>26</v>
      </c>
      <c r="C12" s="5" t="s">
        <v>16</v>
      </c>
      <c r="D12" s="6">
        <v>41341</v>
      </c>
      <c r="E12" s="7">
        <v>3912</v>
      </c>
      <c r="F12" s="8">
        <v>79110453</v>
      </c>
      <c r="G12" s="9">
        <v>41473</v>
      </c>
      <c r="H12" s="7">
        <v>3912</v>
      </c>
      <c r="I12" s="8">
        <v>234911825</v>
      </c>
      <c r="L12" s="13" t="s">
        <v>505</v>
      </c>
      <c r="M12" t="s">
        <v>508</v>
      </c>
    </row>
    <row r="13" spans="1:13" x14ac:dyDescent="0.3">
      <c r="A13" s="3">
        <v>11</v>
      </c>
      <c r="B13" s="4" t="s">
        <v>27</v>
      </c>
      <c r="C13" s="5" t="s">
        <v>28</v>
      </c>
      <c r="D13" s="6">
        <v>41410</v>
      </c>
      <c r="E13" s="7">
        <v>3868</v>
      </c>
      <c r="F13" s="8">
        <v>70165559</v>
      </c>
      <c r="G13" s="9">
        <v>41529</v>
      </c>
      <c r="H13" s="7">
        <v>3907</v>
      </c>
      <c r="I13" s="8">
        <v>228778661</v>
      </c>
      <c r="L13" s="13" t="s">
        <v>506</v>
      </c>
      <c r="M13" t="s">
        <v>509</v>
      </c>
    </row>
    <row r="14" spans="1:13" x14ac:dyDescent="0.3">
      <c r="A14" s="3">
        <v>12</v>
      </c>
      <c r="B14" s="4" t="s">
        <v>29</v>
      </c>
      <c r="C14" s="5" t="s">
        <v>16</v>
      </c>
      <c r="D14" s="6">
        <v>41586</v>
      </c>
      <c r="E14" s="7">
        <v>3841</v>
      </c>
      <c r="F14" s="8">
        <v>85737841</v>
      </c>
      <c r="G14" s="9">
        <v>41746</v>
      </c>
      <c r="H14" s="7">
        <v>3841</v>
      </c>
      <c r="I14" s="8">
        <v>206362140</v>
      </c>
      <c r="L14" s="13" t="s">
        <v>513</v>
      </c>
      <c r="M14" t="s">
        <v>512</v>
      </c>
    </row>
    <row r="15" spans="1:13" x14ac:dyDescent="0.3">
      <c r="A15" s="3">
        <v>13</v>
      </c>
      <c r="B15" s="4" t="s">
        <v>30</v>
      </c>
      <c r="C15" s="5" t="s">
        <v>28</v>
      </c>
      <c r="D15" s="6">
        <v>41446</v>
      </c>
      <c r="E15" s="7">
        <v>3607</v>
      </c>
      <c r="F15" s="8">
        <v>66411834</v>
      </c>
      <c r="G15" s="9">
        <v>41557</v>
      </c>
      <c r="H15" s="7">
        <v>3607</v>
      </c>
      <c r="I15" s="8">
        <v>202359711</v>
      </c>
      <c r="K15" s="11">
        <v>3</v>
      </c>
      <c r="L15" t="s">
        <v>465</v>
      </c>
    </row>
    <row r="16" spans="1:13" x14ac:dyDescent="0.3">
      <c r="A16" s="3">
        <v>14</v>
      </c>
      <c r="B16" s="4" t="s">
        <v>31</v>
      </c>
      <c r="C16" s="5" t="s">
        <v>32</v>
      </c>
      <c r="D16" s="6">
        <v>41355</v>
      </c>
      <c r="E16" s="7">
        <v>4046</v>
      </c>
      <c r="F16" s="8">
        <v>43639736</v>
      </c>
      <c r="G16" s="9">
        <v>41536</v>
      </c>
      <c r="H16" s="7">
        <v>4065</v>
      </c>
      <c r="I16" s="8">
        <v>187168425</v>
      </c>
      <c r="K16" s="11">
        <v>4</v>
      </c>
      <c r="L16" t="s">
        <v>466</v>
      </c>
    </row>
    <row r="17" spans="1:13" x14ac:dyDescent="0.3">
      <c r="A17" s="3">
        <v>15</v>
      </c>
      <c r="B17" s="4" t="s">
        <v>33</v>
      </c>
      <c r="C17" s="5" t="s">
        <v>32</v>
      </c>
      <c r="D17" s="6">
        <v>41453</v>
      </c>
      <c r="E17" s="7">
        <v>3181</v>
      </c>
      <c r="F17" s="8">
        <v>39115043</v>
      </c>
      <c r="G17" s="9">
        <v>41620</v>
      </c>
      <c r="H17" s="7">
        <v>3184</v>
      </c>
      <c r="I17" s="8">
        <v>159582188</v>
      </c>
      <c r="L17" s="13" t="s">
        <v>489</v>
      </c>
    </row>
    <row r="18" spans="1:13" x14ac:dyDescent="0.3">
      <c r="A18" s="3">
        <v>16</v>
      </c>
      <c r="B18" s="4" t="s">
        <v>34</v>
      </c>
      <c r="C18" s="5" t="s">
        <v>21</v>
      </c>
      <c r="D18" s="6">
        <v>41493</v>
      </c>
      <c r="E18" s="7">
        <v>3260</v>
      </c>
      <c r="F18" s="8">
        <v>26419396</v>
      </c>
      <c r="G18" s="9">
        <v>41613</v>
      </c>
      <c r="H18" s="7">
        <v>3445</v>
      </c>
      <c r="I18" s="8">
        <v>150394119</v>
      </c>
      <c r="K18" s="11"/>
      <c r="M18" t="s">
        <v>491</v>
      </c>
    </row>
    <row r="19" spans="1:13" x14ac:dyDescent="0.3">
      <c r="A19" s="3">
        <v>17</v>
      </c>
      <c r="B19" s="4" t="s">
        <v>35</v>
      </c>
      <c r="C19" s="5" t="s">
        <v>36</v>
      </c>
      <c r="D19" s="6">
        <v>41621</v>
      </c>
      <c r="E19" s="7">
        <v>6</v>
      </c>
      <c r="F19" s="8">
        <v>740455</v>
      </c>
      <c r="G19" s="9">
        <v>41735</v>
      </c>
      <c r="H19" s="7">
        <v>2629</v>
      </c>
      <c r="I19" s="8">
        <v>150117807</v>
      </c>
      <c r="K19" s="11"/>
      <c r="L19" s="13" t="s">
        <v>473</v>
      </c>
    </row>
    <row r="20" spans="1:13" x14ac:dyDescent="0.3">
      <c r="A20" s="3">
        <v>18</v>
      </c>
      <c r="B20" s="4" t="s">
        <v>37</v>
      </c>
      <c r="C20" s="5" t="s">
        <v>21</v>
      </c>
      <c r="D20" s="6">
        <v>41404</v>
      </c>
      <c r="E20" s="7">
        <v>3535</v>
      </c>
      <c r="F20" s="8">
        <v>50085185</v>
      </c>
      <c r="G20" s="9">
        <v>41508</v>
      </c>
      <c r="H20" s="7">
        <v>3550</v>
      </c>
      <c r="I20" s="8">
        <v>144840419</v>
      </c>
      <c r="K20" s="11"/>
      <c r="M20" t="s">
        <v>474</v>
      </c>
    </row>
    <row r="21" spans="1:13" x14ac:dyDescent="0.3">
      <c r="A21" s="3">
        <v>19</v>
      </c>
      <c r="B21" s="4" t="s">
        <v>38</v>
      </c>
      <c r="C21" s="5" t="s">
        <v>21</v>
      </c>
      <c r="D21" s="6">
        <v>41474</v>
      </c>
      <c r="E21" s="7">
        <v>2903</v>
      </c>
      <c r="F21" s="8">
        <v>41855326</v>
      </c>
      <c r="G21" s="9">
        <v>41578</v>
      </c>
      <c r="H21" s="7">
        <v>3115</v>
      </c>
      <c r="I21" s="8">
        <v>137400141</v>
      </c>
      <c r="K21" s="11"/>
      <c r="M21" t="s">
        <v>484</v>
      </c>
    </row>
    <row r="22" spans="1:13" x14ac:dyDescent="0.3">
      <c r="A22" s="3">
        <v>20</v>
      </c>
      <c r="B22" s="4" t="s">
        <v>39</v>
      </c>
      <c r="C22" s="5" t="s">
        <v>19</v>
      </c>
      <c r="D22" s="6">
        <v>41313</v>
      </c>
      <c r="E22" s="7">
        <v>3141</v>
      </c>
      <c r="F22" s="8">
        <v>34551025</v>
      </c>
      <c r="G22" s="9">
        <v>41431</v>
      </c>
      <c r="H22" s="7">
        <v>3230</v>
      </c>
      <c r="I22" s="8">
        <v>134506920</v>
      </c>
      <c r="L22" s="13" t="s">
        <v>467</v>
      </c>
    </row>
    <row r="23" spans="1:13" x14ac:dyDescent="0.3">
      <c r="A23" s="3">
        <v>21</v>
      </c>
      <c r="B23" s="4" t="s">
        <v>40</v>
      </c>
      <c r="C23" s="5" t="s">
        <v>36</v>
      </c>
      <c r="D23" s="6">
        <v>41467</v>
      </c>
      <c r="E23" s="7">
        <v>3491</v>
      </c>
      <c r="F23" s="8">
        <v>41508572</v>
      </c>
      <c r="G23" s="9">
        <v>41595</v>
      </c>
      <c r="H23" s="7">
        <v>3491</v>
      </c>
      <c r="I23" s="8">
        <v>133668525</v>
      </c>
      <c r="M23" s="12" t="s">
        <v>469</v>
      </c>
    </row>
    <row r="24" spans="1:13" x14ac:dyDescent="0.3">
      <c r="A24" s="3">
        <v>22</v>
      </c>
      <c r="B24" s="4" t="s">
        <v>41</v>
      </c>
      <c r="C24" s="5" t="s">
        <v>32</v>
      </c>
      <c r="D24" s="6">
        <v>41481</v>
      </c>
      <c r="E24" s="7">
        <v>3924</v>
      </c>
      <c r="F24" s="8">
        <v>53113752</v>
      </c>
      <c r="G24" s="9">
        <v>41613</v>
      </c>
      <c r="H24" s="7">
        <v>3924</v>
      </c>
      <c r="I24" s="8">
        <v>132556852</v>
      </c>
      <c r="M24" s="12" t="s">
        <v>470</v>
      </c>
    </row>
    <row r="25" spans="1:13" x14ac:dyDescent="0.3">
      <c r="A25" s="3">
        <v>23</v>
      </c>
      <c r="B25" s="4" t="s">
        <v>42</v>
      </c>
      <c r="C25" s="5" t="s">
        <v>28</v>
      </c>
      <c r="D25" s="6">
        <v>41626</v>
      </c>
      <c r="E25" s="7">
        <v>3507</v>
      </c>
      <c r="F25" s="8">
        <v>26232425</v>
      </c>
      <c r="G25" s="9">
        <v>41690</v>
      </c>
      <c r="H25" s="7">
        <v>3507</v>
      </c>
      <c r="I25" s="8">
        <v>125168368</v>
      </c>
      <c r="M25" s="12" t="s">
        <v>471</v>
      </c>
    </row>
    <row r="26" spans="1:13" x14ac:dyDescent="0.3">
      <c r="A26" s="3">
        <v>24</v>
      </c>
      <c r="B26" s="4" t="s">
        <v>43</v>
      </c>
      <c r="C26" s="5" t="s">
        <v>19</v>
      </c>
      <c r="D26" s="6">
        <v>41633</v>
      </c>
      <c r="E26" s="7">
        <v>2</v>
      </c>
      <c r="F26" s="8">
        <v>90872</v>
      </c>
      <c r="G26" s="9">
        <v>41739</v>
      </c>
      <c r="H26" s="7">
        <v>3285</v>
      </c>
      <c r="I26" s="8">
        <v>125095601</v>
      </c>
      <c r="L26" s="13" t="s">
        <v>514</v>
      </c>
    </row>
    <row r="27" spans="1:13" x14ac:dyDescent="0.3">
      <c r="A27" s="3">
        <v>25</v>
      </c>
      <c r="B27" s="4" t="s">
        <v>44</v>
      </c>
      <c r="C27" s="5" t="s">
        <v>28</v>
      </c>
      <c r="D27" s="6">
        <v>41361</v>
      </c>
      <c r="E27" s="7">
        <v>3719</v>
      </c>
      <c r="F27" s="8">
        <v>40501814</v>
      </c>
      <c r="G27" s="9">
        <v>41473</v>
      </c>
      <c r="H27" s="7">
        <v>3734</v>
      </c>
      <c r="I27" s="8">
        <v>122523060</v>
      </c>
      <c r="M27" s="12" t="s">
        <v>515</v>
      </c>
    </row>
    <row r="28" spans="1:13" x14ac:dyDescent="0.3">
      <c r="A28" s="3">
        <v>26</v>
      </c>
      <c r="B28" s="4" t="s">
        <v>45</v>
      </c>
      <c r="C28" s="5" t="s">
        <v>36</v>
      </c>
      <c r="D28" s="6">
        <v>41544</v>
      </c>
      <c r="E28" s="7">
        <v>4001</v>
      </c>
      <c r="F28" s="8">
        <v>34017930</v>
      </c>
      <c r="G28" s="9">
        <v>41714</v>
      </c>
      <c r="H28" s="7">
        <v>4001</v>
      </c>
      <c r="I28" s="8">
        <v>119793567</v>
      </c>
      <c r="M28" s="12" t="s">
        <v>516</v>
      </c>
    </row>
    <row r="29" spans="1:13" x14ac:dyDescent="0.3">
      <c r="A29" s="3">
        <v>27</v>
      </c>
      <c r="B29" s="4" t="s">
        <v>46</v>
      </c>
      <c r="C29" s="5" t="s">
        <v>47</v>
      </c>
      <c r="D29" s="6">
        <v>41425</v>
      </c>
      <c r="E29" s="7">
        <v>2925</v>
      </c>
      <c r="F29" s="8">
        <v>29350389</v>
      </c>
      <c r="G29" s="9">
        <v>41543</v>
      </c>
      <c r="H29" s="7">
        <v>3082</v>
      </c>
      <c r="I29" s="8">
        <v>117723989</v>
      </c>
      <c r="M29" s="12" t="s">
        <v>517</v>
      </c>
    </row>
    <row r="30" spans="1:13" x14ac:dyDescent="0.3">
      <c r="A30" s="3">
        <v>28</v>
      </c>
      <c r="B30" s="4" t="s">
        <v>48</v>
      </c>
      <c r="C30" s="5" t="s">
        <v>28</v>
      </c>
      <c r="D30" s="6">
        <v>41633</v>
      </c>
      <c r="E30" s="7">
        <v>2537</v>
      </c>
      <c r="F30" s="8">
        <v>18361578</v>
      </c>
      <c r="G30" s="9">
        <v>41732</v>
      </c>
      <c r="H30" s="7">
        <v>2557</v>
      </c>
      <c r="I30" s="8">
        <v>116900694</v>
      </c>
      <c r="L30" s="12"/>
      <c r="M30" s="12" t="s">
        <v>519</v>
      </c>
    </row>
    <row r="31" spans="1:13" x14ac:dyDescent="0.3">
      <c r="A31" s="3">
        <v>29</v>
      </c>
      <c r="B31" s="4" t="s">
        <v>49</v>
      </c>
      <c r="C31" s="5" t="s">
        <v>50</v>
      </c>
      <c r="D31" s="6">
        <v>41502</v>
      </c>
      <c r="E31" s="7">
        <v>2933</v>
      </c>
      <c r="F31" s="8">
        <v>24637312</v>
      </c>
      <c r="G31" s="9">
        <v>41683</v>
      </c>
      <c r="H31" s="7">
        <v>3330</v>
      </c>
      <c r="I31" s="8">
        <v>116632095</v>
      </c>
      <c r="M31" s="12" t="s">
        <v>518</v>
      </c>
    </row>
    <row r="32" spans="1:13" x14ac:dyDescent="0.3">
      <c r="A32" s="3">
        <v>30</v>
      </c>
      <c r="B32" s="4" t="s">
        <v>51</v>
      </c>
      <c r="C32" s="5" t="s">
        <v>21</v>
      </c>
      <c r="D32" s="6">
        <v>41417</v>
      </c>
      <c r="E32" s="7">
        <v>3555</v>
      </c>
      <c r="F32" s="8">
        <v>41671198</v>
      </c>
      <c r="G32" s="9">
        <v>41501</v>
      </c>
      <c r="H32" s="7">
        <v>3565</v>
      </c>
      <c r="I32" s="8">
        <v>112200072</v>
      </c>
      <c r="L32" s="13" t="s">
        <v>468</v>
      </c>
    </row>
    <row r="33" spans="1:13" x14ac:dyDescent="0.3">
      <c r="A33" s="3">
        <v>31</v>
      </c>
      <c r="B33" s="4" t="s">
        <v>52</v>
      </c>
      <c r="C33" s="5" t="s">
        <v>32</v>
      </c>
      <c r="D33" s="6">
        <v>41418</v>
      </c>
      <c r="E33" s="7">
        <v>3882</v>
      </c>
      <c r="F33" s="8">
        <v>33531068</v>
      </c>
      <c r="G33" s="9">
        <v>41536</v>
      </c>
      <c r="H33" s="7">
        <v>3894</v>
      </c>
      <c r="I33" s="8">
        <v>107518682</v>
      </c>
      <c r="M33" s="12" t="s">
        <v>472</v>
      </c>
    </row>
    <row r="34" spans="1:13" x14ac:dyDescent="0.3">
      <c r="A34" s="3">
        <v>32</v>
      </c>
      <c r="B34" s="4" t="s">
        <v>53</v>
      </c>
      <c r="C34" s="5" t="s">
        <v>36</v>
      </c>
      <c r="D34" s="6">
        <v>41558</v>
      </c>
      <c r="E34" s="7">
        <v>3020</v>
      </c>
      <c r="F34" s="8">
        <v>25718314</v>
      </c>
      <c r="G34" s="9">
        <v>41700</v>
      </c>
      <c r="H34" s="7">
        <v>3143</v>
      </c>
      <c r="I34" s="8">
        <v>107100855</v>
      </c>
      <c r="M34" s="13" t="s">
        <v>476</v>
      </c>
    </row>
    <row r="35" spans="1:13" x14ac:dyDescent="0.3">
      <c r="A35" s="3">
        <v>33</v>
      </c>
      <c r="B35" s="4" t="s">
        <v>54</v>
      </c>
      <c r="C35" s="5" t="s">
        <v>28</v>
      </c>
      <c r="D35" s="6">
        <v>41572</v>
      </c>
      <c r="E35" s="7">
        <v>3336</v>
      </c>
      <c r="F35" s="8">
        <v>32055177</v>
      </c>
      <c r="G35" s="9">
        <v>41662</v>
      </c>
      <c r="H35" s="7">
        <v>3345</v>
      </c>
      <c r="I35" s="8">
        <v>102003019</v>
      </c>
      <c r="K35" s="11"/>
      <c r="M35" s="13" t="s">
        <v>477</v>
      </c>
    </row>
    <row r="36" spans="1:13" x14ac:dyDescent="0.3">
      <c r="A36" s="3">
        <v>34</v>
      </c>
      <c r="B36" s="4" t="s">
        <v>55</v>
      </c>
      <c r="C36" s="5" t="s">
        <v>21</v>
      </c>
      <c r="D36" s="6">
        <v>41467</v>
      </c>
      <c r="E36" s="7">
        <v>3275</v>
      </c>
      <c r="F36" s="8">
        <v>37285325</v>
      </c>
      <c r="G36" s="9">
        <v>41564</v>
      </c>
      <c r="H36" s="7">
        <v>3285</v>
      </c>
      <c r="I36" s="8">
        <v>101802906</v>
      </c>
      <c r="K36" s="11"/>
      <c r="M36" s="13" t="s">
        <v>475</v>
      </c>
    </row>
    <row r="37" spans="1:13" x14ac:dyDescent="0.3">
      <c r="A37" s="3">
        <v>35</v>
      </c>
      <c r="B37" s="4" t="s">
        <v>56</v>
      </c>
      <c r="C37" s="5" t="s">
        <v>36</v>
      </c>
      <c r="D37" s="6">
        <v>41437</v>
      </c>
      <c r="E37" s="7">
        <v>3055</v>
      </c>
      <c r="F37" s="8">
        <v>20719162</v>
      </c>
      <c r="G37" s="9">
        <v>41553</v>
      </c>
      <c r="H37" s="7">
        <v>3055</v>
      </c>
      <c r="I37" s="8">
        <v>101470202</v>
      </c>
      <c r="L37" s="13" t="s">
        <v>478</v>
      </c>
    </row>
    <row r="38" spans="1:13" x14ac:dyDescent="0.3">
      <c r="A38" s="3">
        <v>36</v>
      </c>
      <c r="B38" s="4" t="s">
        <v>57</v>
      </c>
      <c r="C38" s="5" t="s">
        <v>58</v>
      </c>
      <c r="D38" s="6">
        <v>41355</v>
      </c>
      <c r="E38" s="7">
        <v>3098</v>
      </c>
      <c r="F38" s="8">
        <v>30373794</v>
      </c>
      <c r="G38" s="9">
        <v>41466</v>
      </c>
      <c r="H38" s="7">
        <v>3106</v>
      </c>
      <c r="I38" s="8">
        <v>98925640</v>
      </c>
      <c r="M38" s="12" t="s">
        <v>479</v>
      </c>
    </row>
    <row r="39" spans="1:13" x14ac:dyDescent="0.3">
      <c r="A39" s="3">
        <v>37</v>
      </c>
      <c r="B39" s="4">
        <v>42</v>
      </c>
      <c r="C39" s="5" t="s">
        <v>21</v>
      </c>
      <c r="D39" s="6">
        <v>41376</v>
      </c>
      <c r="E39" s="7">
        <v>3003</v>
      </c>
      <c r="F39" s="8">
        <v>27487144</v>
      </c>
      <c r="G39" s="9">
        <v>41480</v>
      </c>
      <c r="H39" s="7">
        <v>3405</v>
      </c>
      <c r="I39" s="8">
        <v>95020213</v>
      </c>
      <c r="L39" s="13" t="s">
        <v>498</v>
      </c>
    </row>
    <row r="40" spans="1:13" x14ac:dyDescent="0.3">
      <c r="A40" s="3">
        <v>38</v>
      </c>
      <c r="B40" s="4" t="s">
        <v>59</v>
      </c>
      <c r="C40" s="5" t="s">
        <v>60</v>
      </c>
      <c r="D40" s="6">
        <v>41495</v>
      </c>
      <c r="E40" s="7">
        <v>3284</v>
      </c>
      <c r="F40" s="8">
        <v>29807393</v>
      </c>
      <c r="G40" s="9">
        <v>41602</v>
      </c>
      <c r="H40" s="7">
        <v>3284</v>
      </c>
      <c r="I40" s="8">
        <v>93050117</v>
      </c>
      <c r="M40" t="s">
        <v>499</v>
      </c>
    </row>
    <row r="41" spans="1:13" x14ac:dyDescent="0.3">
      <c r="A41" s="3">
        <v>39</v>
      </c>
      <c r="B41" s="4" t="s">
        <v>61</v>
      </c>
      <c r="C41" s="5" t="s">
        <v>16</v>
      </c>
      <c r="D41" s="6">
        <v>41495</v>
      </c>
      <c r="E41" s="7">
        <v>3702</v>
      </c>
      <c r="F41" s="8">
        <v>22232291</v>
      </c>
      <c r="G41" s="9">
        <v>41627</v>
      </c>
      <c r="H41" s="7">
        <v>3716</v>
      </c>
      <c r="I41" s="8">
        <v>90288712</v>
      </c>
      <c r="M41" s="13" t="s">
        <v>501</v>
      </c>
    </row>
    <row r="42" spans="1:13" x14ac:dyDescent="0.3">
      <c r="A42" s="3">
        <v>40</v>
      </c>
      <c r="B42" s="4" t="s">
        <v>62</v>
      </c>
      <c r="C42" s="5" t="s">
        <v>16</v>
      </c>
      <c r="D42" s="6">
        <v>41458</v>
      </c>
      <c r="E42" s="7">
        <v>3904</v>
      </c>
      <c r="F42" s="8">
        <v>29210849</v>
      </c>
      <c r="G42" s="9">
        <v>41557</v>
      </c>
      <c r="H42" s="7">
        <v>3904</v>
      </c>
      <c r="I42" s="8">
        <v>89302115</v>
      </c>
      <c r="M42" s="13" t="s">
        <v>496</v>
      </c>
    </row>
    <row r="43" spans="1:13" x14ac:dyDescent="0.3">
      <c r="A43" s="3">
        <v>41</v>
      </c>
      <c r="B43" s="4" t="s">
        <v>63</v>
      </c>
      <c r="C43" s="5" t="s">
        <v>19</v>
      </c>
      <c r="D43" s="6">
        <v>41383</v>
      </c>
      <c r="E43" s="7">
        <v>3783</v>
      </c>
      <c r="F43" s="8">
        <v>37054485</v>
      </c>
      <c r="G43" s="9">
        <v>41452</v>
      </c>
      <c r="H43" s="7">
        <v>3792</v>
      </c>
      <c r="I43" s="8">
        <v>89107235</v>
      </c>
      <c r="M43" s="13" t="s">
        <v>502</v>
      </c>
    </row>
    <row r="44" spans="1:13" x14ac:dyDescent="0.3">
      <c r="A44" s="3">
        <v>42</v>
      </c>
      <c r="B44" s="4" t="s">
        <v>64</v>
      </c>
      <c r="C44" s="5" t="s">
        <v>58</v>
      </c>
      <c r="D44" s="6">
        <v>41530</v>
      </c>
      <c r="E44" s="7">
        <v>3049</v>
      </c>
      <c r="F44" s="8">
        <v>40272103</v>
      </c>
      <c r="G44" s="9">
        <v>41627</v>
      </c>
      <c r="H44" s="7">
        <v>3155</v>
      </c>
      <c r="I44" s="8">
        <v>83586447</v>
      </c>
      <c r="L44" s="13" t="s">
        <v>486</v>
      </c>
    </row>
    <row r="45" spans="1:13" x14ac:dyDescent="0.3">
      <c r="A45" s="3">
        <v>43</v>
      </c>
      <c r="B45" s="4" t="s">
        <v>65</v>
      </c>
      <c r="C45" s="5" t="s">
        <v>16</v>
      </c>
      <c r="D45" s="6">
        <v>41621</v>
      </c>
      <c r="E45" s="7">
        <v>15</v>
      </c>
      <c r="F45" s="8">
        <v>413373</v>
      </c>
      <c r="G45" s="9">
        <v>41746</v>
      </c>
      <c r="H45" s="7">
        <v>2671</v>
      </c>
      <c r="I45" s="8">
        <v>83301580</v>
      </c>
      <c r="M45" s="12" t="s">
        <v>487</v>
      </c>
    </row>
    <row r="46" spans="1:13" x14ac:dyDescent="0.3">
      <c r="A46" s="3">
        <v>44</v>
      </c>
      <c r="B46" s="4" t="s">
        <v>66</v>
      </c>
      <c r="C46" s="5" t="s">
        <v>32</v>
      </c>
      <c r="D46" s="6">
        <v>41472</v>
      </c>
      <c r="E46" s="7">
        <v>3806</v>
      </c>
      <c r="F46" s="8">
        <v>21312625</v>
      </c>
      <c r="G46" s="9">
        <v>41620</v>
      </c>
      <c r="H46" s="7">
        <v>3809</v>
      </c>
      <c r="I46" s="8">
        <v>83028128</v>
      </c>
    </row>
    <row r="47" spans="1:13" x14ac:dyDescent="0.3">
      <c r="A47" s="3">
        <v>45</v>
      </c>
      <c r="B47" s="4" t="s">
        <v>67</v>
      </c>
      <c r="C47" s="5" t="s">
        <v>19</v>
      </c>
      <c r="D47" s="6">
        <v>41488</v>
      </c>
      <c r="E47" s="7">
        <v>3025</v>
      </c>
      <c r="F47" s="8">
        <v>27059130</v>
      </c>
      <c r="G47" s="9">
        <v>41571</v>
      </c>
      <c r="H47" s="7">
        <v>3028</v>
      </c>
      <c r="I47" s="8">
        <v>75612460</v>
      </c>
      <c r="K47" s="11">
        <v>5</v>
      </c>
      <c r="L47" t="s">
        <v>481</v>
      </c>
    </row>
    <row r="48" spans="1:13" x14ac:dyDescent="0.3">
      <c r="A48" s="3">
        <v>46</v>
      </c>
      <c r="B48" s="4" t="s">
        <v>68</v>
      </c>
      <c r="C48" s="5" t="s">
        <v>36</v>
      </c>
      <c r="D48" s="6">
        <v>41453</v>
      </c>
      <c r="E48" s="7">
        <v>3222</v>
      </c>
      <c r="F48" s="8">
        <v>24852258</v>
      </c>
      <c r="G48" s="9">
        <v>41532</v>
      </c>
      <c r="H48" s="7">
        <v>3222</v>
      </c>
      <c r="I48" s="8">
        <v>73103784</v>
      </c>
      <c r="K48" s="11">
        <v>6</v>
      </c>
      <c r="L48" t="s">
        <v>482</v>
      </c>
    </row>
    <row r="49" spans="1:12" x14ac:dyDescent="0.3">
      <c r="A49" s="3">
        <v>47</v>
      </c>
      <c r="B49" s="4" t="s">
        <v>69</v>
      </c>
      <c r="C49" s="5" t="s">
        <v>19</v>
      </c>
      <c r="D49" s="6">
        <v>41292</v>
      </c>
      <c r="E49" s="7">
        <v>2647</v>
      </c>
      <c r="F49" s="8">
        <v>28402310</v>
      </c>
      <c r="G49" s="9">
        <v>41368</v>
      </c>
      <c r="H49" s="7">
        <v>2781</v>
      </c>
      <c r="I49" s="8">
        <v>71628180</v>
      </c>
      <c r="K49" s="11">
        <v>7</v>
      </c>
      <c r="L49" t="s">
        <v>186</v>
      </c>
    </row>
    <row r="50" spans="1:12" x14ac:dyDescent="0.3">
      <c r="A50" s="3">
        <v>48</v>
      </c>
      <c r="B50" s="4" t="s">
        <v>70</v>
      </c>
      <c r="C50" s="5" t="s">
        <v>71</v>
      </c>
      <c r="D50" s="6">
        <v>41319</v>
      </c>
      <c r="E50" s="7">
        <v>3223</v>
      </c>
      <c r="F50" s="8">
        <v>21401594</v>
      </c>
      <c r="G50" s="9">
        <v>41424</v>
      </c>
      <c r="H50" s="7">
        <v>3223</v>
      </c>
      <c r="I50" s="8">
        <v>71349120</v>
      </c>
      <c r="K50" s="11">
        <v>8</v>
      </c>
      <c r="L50" t="s">
        <v>488</v>
      </c>
    </row>
    <row r="51" spans="1:12" x14ac:dyDescent="0.3">
      <c r="A51" s="3">
        <v>49</v>
      </c>
      <c r="B51" s="4" t="s">
        <v>72</v>
      </c>
      <c r="C51" s="5" t="s">
        <v>36</v>
      </c>
      <c r="D51" s="6">
        <v>41486</v>
      </c>
      <c r="E51" s="7">
        <v>3866</v>
      </c>
      <c r="F51" s="8">
        <v>17548389</v>
      </c>
      <c r="G51" s="9">
        <v>41595</v>
      </c>
      <c r="H51" s="7">
        <v>3867</v>
      </c>
      <c r="I51" s="8">
        <v>71017784</v>
      </c>
      <c r="K51" s="11">
        <v>9</v>
      </c>
      <c r="L51" t="s">
        <v>485</v>
      </c>
    </row>
    <row r="52" spans="1:12" x14ac:dyDescent="0.3">
      <c r="A52" s="3">
        <v>50</v>
      </c>
      <c r="B52" s="4" t="s">
        <v>73</v>
      </c>
      <c r="C52" s="5" t="s">
        <v>19</v>
      </c>
      <c r="D52" s="6">
        <v>41593</v>
      </c>
      <c r="E52" s="7">
        <v>2024</v>
      </c>
      <c r="F52" s="8">
        <v>30107555</v>
      </c>
      <c r="G52" s="9">
        <v>41648</v>
      </c>
      <c r="H52" s="7">
        <v>2041</v>
      </c>
      <c r="I52" s="8">
        <v>70525195</v>
      </c>
    </row>
    <row r="53" spans="1:12" x14ac:dyDescent="0.3">
      <c r="A53" s="3">
        <v>51</v>
      </c>
      <c r="B53" s="4" t="s">
        <v>74</v>
      </c>
      <c r="C53" s="5" t="s">
        <v>32</v>
      </c>
      <c r="D53" s="6">
        <v>41493</v>
      </c>
      <c r="E53" s="7">
        <v>3031</v>
      </c>
      <c r="F53" s="8">
        <v>14401054</v>
      </c>
      <c r="G53" s="9">
        <v>41669</v>
      </c>
      <c r="H53" s="7">
        <v>3080</v>
      </c>
      <c r="I53" s="8">
        <v>68559554</v>
      </c>
    </row>
    <row r="54" spans="1:12" x14ac:dyDescent="0.3">
      <c r="A54" s="3">
        <v>52</v>
      </c>
      <c r="B54" s="4" t="s">
        <v>75</v>
      </c>
      <c r="C54" s="5" t="s">
        <v>32</v>
      </c>
      <c r="D54" s="6">
        <v>41319</v>
      </c>
      <c r="E54" s="7">
        <v>3553</v>
      </c>
      <c r="F54" s="8">
        <v>24834845</v>
      </c>
      <c r="G54" s="9">
        <v>41417</v>
      </c>
      <c r="H54" s="7">
        <v>3555</v>
      </c>
      <c r="I54" s="8">
        <v>67349198</v>
      </c>
    </row>
    <row r="55" spans="1:12" x14ac:dyDescent="0.3">
      <c r="A55" s="3">
        <v>53</v>
      </c>
      <c r="B55" s="4" t="s">
        <v>76</v>
      </c>
      <c r="C55" s="5" t="s">
        <v>47</v>
      </c>
      <c r="D55" s="6">
        <v>41306</v>
      </c>
      <c r="E55" s="7">
        <v>3009</v>
      </c>
      <c r="F55" s="8">
        <v>20353967</v>
      </c>
      <c r="G55" s="9">
        <v>41403</v>
      </c>
      <c r="H55" s="7">
        <v>3009</v>
      </c>
      <c r="I55" s="8">
        <v>66380662</v>
      </c>
    </row>
    <row r="56" spans="1:12" x14ac:dyDescent="0.3">
      <c r="A56" s="3">
        <v>54</v>
      </c>
      <c r="B56" s="4" t="s">
        <v>77</v>
      </c>
      <c r="C56" s="5" t="s">
        <v>78</v>
      </c>
      <c r="D56" s="6">
        <v>41334</v>
      </c>
      <c r="E56" s="7">
        <v>3525</v>
      </c>
      <c r="F56" s="8">
        <v>27202226</v>
      </c>
      <c r="G56" s="9">
        <v>41438</v>
      </c>
      <c r="H56" s="7">
        <v>3525</v>
      </c>
      <c r="I56" s="8">
        <v>65187603</v>
      </c>
    </row>
    <row r="57" spans="1:12" x14ac:dyDescent="0.3">
      <c r="A57" s="3">
        <v>55</v>
      </c>
      <c r="B57" s="4" t="s">
        <v>79</v>
      </c>
      <c r="C57" s="5" t="s">
        <v>19</v>
      </c>
      <c r="D57" s="6">
        <v>41432</v>
      </c>
      <c r="E57" s="7">
        <v>2536</v>
      </c>
      <c r="F57" s="8">
        <v>34058360</v>
      </c>
      <c r="G57" s="9">
        <v>41494</v>
      </c>
      <c r="H57" s="7">
        <v>2591</v>
      </c>
      <c r="I57" s="8">
        <v>64473115</v>
      </c>
    </row>
    <row r="58" spans="1:12" x14ac:dyDescent="0.3">
      <c r="A58" s="3">
        <v>56</v>
      </c>
      <c r="B58" s="4" t="s">
        <v>80</v>
      </c>
      <c r="C58" s="5" t="s">
        <v>81</v>
      </c>
      <c r="D58" s="6">
        <v>41579</v>
      </c>
      <c r="E58" s="7">
        <v>3065</v>
      </c>
      <c r="F58" s="8">
        <v>16334566</v>
      </c>
      <c r="G58" s="9">
        <v>41690</v>
      </c>
      <c r="H58" s="7">
        <v>3237</v>
      </c>
      <c r="I58" s="8">
        <v>63914167</v>
      </c>
    </row>
    <row r="59" spans="1:12" x14ac:dyDescent="0.3">
      <c r="A59" s="3">
        <v>57</v>
      </c>
      <c r="B59" s="4" t="s">
        <v>82</v>
      </c>
      <c r="C59" s="5" t="s">
        <v>47</v>
      </c>
      <c r="D59" s="6">
        <v>41579</v>
      </c>
      <c r="E59" s="7">
        <v>3407</v>
      </c>
      <c r="F59" s="8">
        <v>27017351</v>
      </c>
      <c r="G59" s="9">
        <v>41648</v>
      </c>
      <c r="H59" s="7">
        <v>3407</v>
      </c>
      <c r="I59" s="8">
        <v>61737191</v>
      </c>
    </row>
    <row r="60" spans="1:12" x14ac:dyDescent="0.3">
      <c r="A60" s="3">
        <v>58</v>
      </c>
      <c r="B60" s="4" t="s">
        <v>83</v>
      </c>
      <c r="C60" s="5" t="s">
        <v>21</v>
      </c>
      <c r="D60" s="6">
        <v>41537</v>
      </c>
      <c r="E60" s="7">
        <v>3260</v>
      </c>
      <c r="F60" s="8">
        <v>20817053</v>
      </c>
      <c r="G60" s="9">
        <v>41613</v>
      </c>
      <c r="H60" s="7">
        <v>3290</v>
      </c>
      <c r="I60" s="8">
        <v>61002302</v>
      </c>
    </row>
    <row r="61" spans="1:12" x14ac:dyDescent="0.3">
      <c r="A61" s="3">
        <v>59</v>
      </c>
      <c r="B61" s="4" t="s">
        <v>84</v>
      </c>
      <c r="C61" s="5" t="s">
        <v>36</v>
      </c>
      <c r="D61" s="6">
        <v>41425</v>
      </c>
      <c r="E61" s="7">
        <v>3401</v>
      </c>
      <c r="F61" s="8">
        <v>27520040</v>
      </c>
      <c r="G61" s="9">
        <v>41504</v>
      </c>
      <c r="H61" s="7">
        <v>3401</v>
      </c>
      <c r="I61" s="8">
        <v>60522097</v>
      </c>
    </row>
    <row r="62" spans="1:12" x14ac:dyDescent="0.3">
      <c r="A62" s="3">
        <v>60</v>
      </c>
      <c r="B62" s="4" t="s">
        <v>85</v>
      </c>
      <c r="C62" s="5" t="s">
        <v>32</v>
      </c>
      <c r="D62" s="6">
        <v>41633</v>
      </c>
      <c r="E62" s="7">
        <v>2909</v>
      </c>
      <c r="F62" s="8">
        <v>12765508</v>
      </c>
      <c r="G62" s="9">
        <v>41739</v>
      </c>
      <c r="H62" s="7">
        <v>2922</v>
      </c>
      <c r="I62" s="8">
        <v>58236838</v>
      </c>
    </row>
    <row r="63" spans="1:12" x14ac:dyDescent="0.3">
      <c r="A63" s="3">
        <v>61</v>
      </c>
      <c r="B63" s="4" t="s">
        <v>86</v>
      </c>
      <c r="C63" s="5" t="s">
        <v>50</v>
      </c>
      <c r="D63" s="6">
        <v>41320</v>
      </c>
      <c r="E63" s="7">
        <v>3288</v>
      </c>
      <c r="F63" s="8">
        <v>15891055</v>
      </c>
      <c r="G63" s="9">
        <v>41480</v>
      </c>
      <c r="H63" s="7">
        <v>3353</v>
      </c>
      <c r="I63" s="8">
        <v>57012977</v>
      </c>
    </row>
    <row r="64" spans="1:12" x14ac:dyDescent="0.3">
      <c r="A64" s="3">
        <v>62</v>
      </c>
      <c r="B64" s="4" t="s">
        <v>87</v>
      </c>
      <c r="C64" s="5" t="s">
        <v>88</v>
      </c>
      <c r="D64" s="6">
        <v>41565</v>
      </c>
      <c r="E64" s="7">
        <v>19</v>
      </c>
      <c r="F64" s="8">
        <v>923715</v>
      </c>
      <c r="G64" s="9">
        <v>41767</v>
      </c>
      <c r="H64" s="7">
        <v>1474</v>
      </c>
      <c r="I64" s="8">
        <v>56671993</v>
      </c>
    </row>
    <row r="65" spans="1:9" x14ac:dyDescent="0.3">
      <c r="A65" s="3">
        <v>63</v>
      </c>
      <c r="B65" s="4" t="s">
        <v>89</v>
      </c>
      <c r="C65" s="5" t="s">
        <v>71</v>
      </c>
      <c r="D65" s="6">
        <v>41579</v>
      </c>
      <c r="E65" s="7">
        <v>3736</v>
      </c>
      <c r="F65" s="8">
        <v>15805237</v>
      </c>
      <c r="G65" s="9">
        <v>41718</v>
      </c>
      <c r="H65" s="7">
        <v>3736</v>
      </c>
      <c r="I65" s="8">
        <v>55750480</v>
      </c>
    </row>
    <row r="66" spans="1:9" x14ac:dyDescent="0.3">
      <c r="A66" s="3">
        <v>64</v>
      </c>
      <c r="B66" s="4" t="s">
        <v>90</v>
      </c>
      <c r="C66" s="5" t="s">
        <v>28</v>
      </c>
      <c r="D66" s="6">
        <v>41299</v>
      </c>
      <c r="E66" s="7">
        <v>3372</v>
      </c>
      <c r="F66" s="8">
        <v>19690956</v>
      </c>
      <c r="G66" s="9">
        <v>41389</v>
      </c>
      <c r="H66" s="7">
        <v>3375</v>
      </c>
      <c r="I66" s="8">
        <v>55703475</v>
      </c>
    </row>
    <row r="67" spans="1:9" x14ac:dyDescent="0.3">
      <c r="A67" s="3">
        <v>65</v>
      </c>
      <c r="B67" s="4" t="s">
        <v>91</v>
      </c>
      <c r="C67" s="5" t="s">
        <v>60</v>
      </c>
      <c r="D67" s="6">
        <v>41369</v>
      </c>
      <c r="E67" s="7">
        <v>3025</v>
      </c>
      <c r="F67" s="8">
        <v>25775847</v>
      </c>
      <c r="G67" s="9">
        <v>41434</v>
      </c>
      <c r="H67" s="7">
        <v>3025</v>
      </c>
      <c r="I67" s="8">
        <v>54239856</v>
      </c>
    </row>
    <row r="68" spans="1:9" x14ac:dyDescent="0.3">
      <c r="A68" s="3">
        <v>66</v>
      </c>
      <c r="B68" s="4" t="s">
        <v>92</v>
      </c>
      <c r="C68" s="5" t="s">
        <v>47</v>
      </c>
      <c r="D68" s="6">
        <v>41474</v>
      </c>
      <c r="E68" s="7">
        <v>3016</v>
      </c>
      <c r="F68" s="8">
        <v>18048422</v>
      </c>
      <c r="G68" s="9">
        <v>41564</v>
      </c>
      <c r="H68" s="7">
        <v>3016</v>
      </c>
      <c r="I68" s="8">
        <v>53262560</v>
      </c>
    </row>
    <row r="69" spans="1:9" x14ac:dyDescent="0.3">
      <c r="A69" s="3">
        <v>67</v>
      </c>
      <c r="B69" s="4" t="s">
        <v>93</v>
      </c>
      <c r="C69" s="5" t="s">
        <v>14</v>
      </c>
      <c r="D69" s="6">
        <v>41621</v>
      </c>
      <c r="E69" s="7">
        <v>2194</v>
      </c>
      <c r="F69" s="8">
        <v>16007634</v>
      </c>
      <c r="G69" s="9">
        <v>41683</v>
      </c>
      <c r="H69" s="7">
        <v>2194</v>
      </c>
      <c r="I69" s="8">
        <v>52543354</v>
      </c>
    </row>
    <row r="70" spans="1:9" ht="31.2" x14ac:dyDescent="0.3">
      <c r="A70" s="3">
        <v>68</v>
      </c>
      <c r="B70" s="4" t="s">
        <v>94</v>
      </c>
      <c r="C70" s="5" t="s">
        <v>14</v>
      </c>
      <c r="D70" s="6">
        <v>41362</v>
      </c>
      <c r="E70" s="7">
        <v>2047</v>
      </c>
      <c r="F70" s="8">
        <v>21641679</v>
      </c>
      <c r="G70" s="9">
        <v>41424</v>
      </c>
      <c r="H70" s="7">
        <v>2047</v>
      </c>
      <c r="I70" s="8">
        <v>51975354</v>
      </c>
    </row>
    <row r="71" spans="1:9" x14ac:dyDescent="0.3">
      <c r="A71" s="3">
        <v>69</v>
      </c>
      <c r="B71" s="4" t="s">
        <v>95</v>
      </c>
      <c r="C71" s="5" t="s">
        <v>60</v>
      </c>
      <c r="D71" s="6">
        <v>41348</v>
      </c>
      <c r="E71" s="7">
        <v>2507</v>
      </c>
      <c r="F71" s="8">
        <v>17118745</v>
      </c>
      <c r="G71" s="9">
        <v>41434</v>
      </c>
      <c r="H71" s="7">
        <v>2507</v>
      </c>
      <c r="I71" s="8">
        <v>51872378</v>
      </c>
    </row>
    <row r="72" spans="1:9" x14ac:dyDescent="0.3">
      <c r="A72" s="3">
        <v>70</v>
      </c>
      <c r="B72" s="4" t="s">
        <v>96</v>
      </c>
      <c r="C72" s="5" t="s">
        <v>28</v>
      </c>
      <c r="D72" s="6">
        <v>41390</v>
      </c>
      <c r="E72" s="7">
        <v>3277</v>
      </c>
      <c r="F72" s="8">
        <v>20244505</v>
      </c>
      <c r="G72" s="9">
        <v>41515</v>
      </c>
      <c r="H72" s="7">
        <v>3303</v>
      </c>
      <c r="I72" s="8">
        <v>49875291</v>
      </c>
    </row>
    <row r="73" spans="1:9" x14ac:dyDescent="0.3">
      <c r="A73" s="3">
        <v>71</v>
      </c>
      <c r="B73" s="4" t="s">
        <v>97</v>
      </c>
      <c r="C73" s="5" t="s">
        <v>21</v>
      </c>
      <c r="D73" s="6">
        <v>41285</v>
      </c>
      <c r="E73" s="7">
        <v>3103</v>
      </c>
      <c r="F73" s="8">
        <v>17070347</v>
      </c>
      <c r="G73" s="9">
        <v>41368</v>
      </c>
      <c r="H73" s="7">
        <v>3103</v>
      </c>
      <c r="I73" s="8">
        <v>46000903</v>
      </c>
    </row>
    <row r="74" spans="1:9" x14ac:dyDescent="0.3">
      <c r="A74" s="3">
        <v>72</v>
      </c>
      <c r="B74" s="4" t="s">
        <v>98</v>
      </c>
      <c r="C74" s="5" t="s">
        <v>19</v>
      </c>
      <c r="D74" s="6">
        <v>41369</v>
      </c>
      <c r="E74" s="7">
        <v>2771</v>
      </c>
      <c r="F74" s="8">
        <v>18620145</v>
      </c>
      <c r="G74" s="9">
        <v>41417</v>
      </c>
      <c r="H74" s="7">
        <v>2778</v>
      </c>
      <c r="I74" s="8">
        <v>45385935</v>
      </c>
    </row>
    <row r="75" spans="1:9" x14ac:dyDescent="0.3">
      <c r="A75" s="3">
        <v>73</v>
      </c>
      <c r="B75" s="4" t="s">
        <v>99</v>
      </c>
      <c r="C75" s="5" t="s">
        <v>32</v>
      </c>
      <c r="D75" s="6">
        <v>41432</v>
      </c>
      <c r="E75" s="7">
        <v>3366</v>
      </c>
      <c r="F75" s="8">
        <v>17325307</v>
      </c>
      <c r="G75" s="9">
        <v>41529</v>
      </c>
      <c r="H75" s="7">
        <v>3399</v>
      </c>
      <c r="I75" s="8">
        <v>44672764</v>
      </c>
    </row>
    <row r="76" spans="1:9" x14ac:dyDescent="0.3">
      <c r="A76" s="3">
        <v>74</v>
      </c>
      <c r="B76" s="4" t="s">
        <v>100</v>
      </c>
      <c r="C76" s="5" t="s">
        <v>14</v>
      </c>
      <c r="D76" s="6">
        <v>41516</v>
      </c>
      <c r="E76" s="7">
        <v>348</v>
      </c>
      <c r="F76" s="8">
        <v>7846426</v>
      </c>
      <c r="G76" s="9">
        <v>41620</v>
      </c>
      <c r="H76" s="7">
        <v>978</v>
      </c>
      <c r="I76" s="8">
        <v>44467206</v>
      </c>
    </row>
    <row r="77" spans="1:9" x14ac:dyDescent="0.3">
      <c r="A77" s="3">
        <v>75</v>
      </c>
      <c r="B77" s="4" t="s">
        <v>101</v>
      </c>
      <c r="C77" s="5" t="s">
        <v>47</v>
      </c>
      <c r="D77" s="6">
        <v>41327</v>
      </c>
      <c r="E77" s="7">
        <v>2511</v>
      </c>
      <c r="F77" s="8">
        <v>13167607</v>
      </c>
      <c r="G77" s="9">
        <v>41424</v>
      </c>
      <c r="H77" s="7">
        <v>2511</v>
      </c>
      <c r="I77" s="8">
        <v>42930462</v>
      </c>
    </row>
    <row r="78" spans="1:9" x14ac:dyDescent="0.3">
      <c r="A78" s="3">
        <v>76</v>
      </c>
      <c r="B78" s="4" t="s">
        <v>102</v>
      </c>
      <c r="C78" s="5" t="s">
        <v>19</v>
      </c>
      <c r="D78" s="6">
        <v>41523</v>
      </c>
      <c r="E78" s="7">
        <v>3107</v>
      </c>
      <c r="F78" s="8">
        <v>19030375</v>
      </c>
      <c r="G78" s="9">
        <v>41578</v>
      </c>
      <c r="H78" s="7">
        <v>3117</v>
      </c>
      <c r="I78" s="8">
        <v>42025135</v>
      </c>
    </row>
    <row r="79" spans="1:9" x14ac:dyDescent="0.3">
      <c r="A79" s="3">
        <v>77</v>
      </c>
      <c r="B79" s="4" t="s">
        <v>103</v>
      </c>
      <c r="C79" s="5" t="s">
        <v>104</v>
      </c>
      <c r="D79" s="6">
        <v>41285</v>
      </c>
      <c r="E79" s="7">
        <v>2160</v>
      </c>
      <c r="F79" s="8">
        <v>18101682</v>
      </c>
      <c r="G79" s="9">
        <v>41336</v>
      </c>
      <c r="H79" s="7">
        <v>2160</v>
      </c>
      <c r="I79" s="8">
        <v>40041683</v>
      </c>
    </row>
    <row r="80" spans="1:9" x14ac:dyDescent="0.3">
      <c r="A80" s="3">
        <v>78</v>
      </c>
      <c r="B80" s="4" t="s">
        <v>105</v>
      </c>
      <c r="C80" s="5" t="s">
        <v>19</v>
      </c>
      <c r="D80" s="6">
        <v>41633</v>
      </c>
      <c r="E80" s="7">
        <v>2689</v>
      </c>
      <c r="F80" s="8">
        <v>9910310</v>
      </c>
      <c r="G80" s="9">
        <v>41676</v>
      </c>
      <c r="H80" s="7">
        <v>2690</v>
      </c>
      <c r="I80" s="8">
        <v>38362475</v>
      </c>
    </row>
    <row r="81" spans="1:9" x14ac:dyDescent="0.3">
      <c r="A81" s="3">
        <v>79</v>
      </c>
      <c r="B81" s="4" t="s">
        <v>106</v>
      </c>
      <c r="C81" s="5" t="s">
        <v>50</v>
      </c>
      <c r="D81" s="6">
        <v>41635</v>
      </c>
      <c r="E81" s="7">
        <v>5</v>
      </c>
      <c r="F81" s="8">
        <v>179302</v>
      </c>
      <c r="G81" s="9">
        <v>41767</v>
      </c>
      <c r="H81" s="7">
        <v>2411</v>
      </c>
      <c r="I81" s="8">
        <v>37738810</v>
      </c>
    </row>
    <row r="82" spans="1:9" x14ac:dyDescent="0.3">
      <c r="A82" s="3">
        <v>80</v>
      </c>
      <c r="B82" s="4" t="s">
        <v>107</v>
      </c>
      <c r="C82" s="5" t="s">
        <v>50</v>
      </c>
      <c r="D82" s="6">
        <v>41600</v>
      </c>
      <c r="E82" s="7">
        <v>4</v>
      </c>
      <c r="F82" s="8">
        <v>128435</v>
      </c>
      <c r="G82" s="9">
        <v>41781</v>
      </c>
      <c r="H82" s="7">
        <v>1225</v>
      </c>
      <c r="I82" s="8">
        <v>37709979</v>
      </c>
    </row>
    <row r="83" spans="1:9" x14ac:dyDescent="0.3">
      <c r="A83" s="3">
        <v>81</v>
      </c>
      <c r="B83" s="4" t="s">
        <v>108</v>
      </c>
      <c r="C83" s="5" t="s">
        <v>71</v>
      </c>
      <c r="D83" s="6">
        <v>41530</v>
      </c>
      <c r="E83" s="7">
        <v>3091</v>
      </c>
      <c r="F83" s="8">
        <v>14034764</v>
      </c>
      <c r="G83" s="9">
        <v>41648</v>
      </c>
      <c r="H83" s="7">
        <v>3091</v>
      </c>
      <c r="I83" s="8">
        <v>36918811</v>
      </c>
    </row>
    <row r="84" spans="1:9" x14ac:dyDescent="0.3">
      <c r="A84" s="3">
        <v>82</v>
      </c>
      <c r="B84" s="4" t="s">
        <v>109</v>
      </c>
      <c r="C84" s="5" t="s">
        <v>32</v>
      </c>
      <c r="D84" s="6">
        <v>41628</v>
      </c>
      <c r="E84" s="7">
        <v>3231</v>
      </c>
      <c r="F84" s="8">
        <v>7091938</v>
      </c>
      <c r="G84" s="9">
        <v>41739</v>
      </c>
      <c r="H84" s="7">
        <v>3243</v>
      </c>
      <c r="I84" s="8">
        <v>36076121</v>
      </c>
    </row>
    <row r="85" spans="1:9" x14ac:dyDescent="0.3">
      <c r="A85" s="3">
        <v>83</v>
      </c>
      <c r="B85" s="4" t="s">
        <v>110</v>
      </c>
      <c r="C85" s="5" t="s">
        <v>111</v>
      </c>
      <c r="D85" s="6">
        <v>41565</v>
      </c>
      <c r="E85" s="7">
        <v>3157</v>
      </c>
      <c r="F85" s="8">
        <v>16101552</v>
      </c>
      <c r="G85" s="9">
        <v>41602</v>
      </c>
      <c r="H85" s="7">
        <v>3157</v>
      </c>
      <c r="I85" s="8">
        <v>35266619</v>
      </c>
    </row>
    <row r="86" spans="1:9" x14ac:dyDescent="0.3">
      <c r="A86" s="3">
        <v>84</v>
      </c>
      <c r="B86" s="4" t="s">
        <v>112</v>
      </c>
      <c r="C86" s="5" t="s">
        <v>14</v>
      </c>
      <c r="D86" s="6">
        <v>41278</v>
      </c>
      <c r="E86" s="7">
        <v>2654</v>
      </c>
      <c r="F86" s="8">
        <v>21744470</v>
      </c>
      <c r="G86" s="9">
        <v>41333</v>
      </c>
      <c r="H86" s="7">
        <v>2659</v>
      </c>
      <c r="I86" s="8">
        <v>34341945</v>
      </c>
    </row>
    <row r="87" spans="1:9" x14ac:dyDescent="0.3">
      <c r="A87" s="3">
        <v>85</v>
      </c>
      <c r="B87" s="4" t="s">
        <v>113</v>
      </c>
      <c r="C87" s="5" t="s">
        <v>19</v>
      </c>
      <c r="D87" s="6">
        <v>41474</v>
      </c>
      <c r="E87" s="7">
        <v>2852</v>
      </c>
      <c r="F87" s="8">
        <v>12691415</v>
      </c>
      <c r="G87" s="9">
        <v>41543</v>
      </c>
      <c r="H87" s="7">
        <v>2852</v>
      </c>
      <c r="I87" s="8">
        <v>33618855</v>
      </c>
    </row>
    <row r="88" spans="1:9" x14ac:dyDescent="0.3">
      <c r="A88" s="3">
        <v>86</v>
      </c>
      <c r="B88" s="4" t="s">
        <v>114</v>
      </c>
      <c r="C88" s="5" t="s">
        <v>115</v>
      </c>
      <c r="D88" s="6">
        <v>41481</v>
      </c>
      <c r="E88" s="7">
        <v>6</v>
      </c>
      <c r="F88" s="8">
        <v>612064</v>
      </c>
      <c r="G88" s="9">
        <v>41732</v>
      </c>
      <c r="H88" s="7">
        <v>1283</v>
      </c>
      <c r="I88" s="8">
        <v>33405481</v>
      </c>
    </row>
    <row r="89" spans="1:9" x14ac:dyDescent="0.3">
      <c r="A89" s="3">
        <v>87</v>
      </c>
      <c r="B89" s="4" t="s">
        <v>116</v>
      </c>
      <c r="C89" s="5" t="s">
        <v>47</v>
      </c>
      <c r="D89" s="6">
        <v>41458</v>
      </c>
      <c r="E89" s="7">
        <v>876</v>
      </c>
      <c r="F89" s="8">
        <v>10030463</v>
      </c>
      <c r="G89" s="9">
        <v>41508</v>
      </c>
      <c r="H89" s="7">
        <v>892</v>
      </c>
      <c r="I89" s="8">
        <v>32244051</v>
      </c>
    </row>
    <row r="90" spans="1:9" x14ac:dyDescent="0.3">
      <c r="A90" s="3">
        <v>88</v>
      </c>
      <c r="B90" s="4" t="s">
        <v>117</v>
      </c>
      <c r="C90" s="5" t="s">
        <v>104</v>
      </c>
      <c r="D90" s="6">
        <v>41313</v>
      </c>
      <c r="E90" s="7">
        <v>2605</v>
      </c>
      <c r="F90" s="8">
        <v>9303145</v>
      </c>
      <c r="G90" s="9">
        <v>41410</v>
      </c>
      <c r="H90" s="7">
        <v>2605</v>
      </c>
      <c r="I90" s="8">
        <v>32172757</v>
      </c>
    </row>
    <row r="91" spans="1:9" x14ac:dyDescent="0.3">
      <c r="A91" s="3">
        <v>89</v>
      </c>
      <c r="B91" s="4" t="s">
        <v>118</v>
      </c>
      <c r="C91" s="5" t="s">
        <v>119</v>
      </c>
      <c r="D91" s="6">
        <v>41376</v>
      </c>
      <c r="E91" s="7">
        <v>3402</v>
      </c>
      <c r="F91" s="8">
        <v>14157367</v>
      </c>
      <c r="G91" s="9">
        <v>41480</v>
      </c>
      <c r="H91" s="7">
        <v>3402</v>
      </c>
      <c r="I91" s="8">
        <v>32015787</v>
      </c>
    </row>
    <row r="92" spans="1:9" x14ac:dyDescent="0.3">
      <c r="A92" s="3">
        <v>90</v>
      </c>
      <c r="B92" s="4" t="s">
        <v>120</v>
      </c>
      <c r="C92" s="5" t="s">
        <v>111</v>
      </c>
      <c r="D92" s="6">
        <v>41507</v>
      </c>
      <c r="E92" s="7">
        <v>3118</v>
      </c>
      <c r="F92" s="8">
        <v>9336957</v>
      </c>
      <c r="G92" s="9">
        <v>41553</v>
      </c>
      <c r="H92" s="7">
        <v>3118</v>
      </c>
      <c r="I92" s="8">
        <v>31165421</v>
      </c>
    </row>
    <row r="93" spans="1:9" x14ac:dyDescent="0.3">
      <c r="A93" s="3">
        <v>91</v>
      </c>
      <c r="B93" s="4" t="s">
        <v>121</v>
      </c>
      <c r="C93" s="5" t="s">
        <v>16</v>
      </c>
      <c r="D93" s="6">
        <v>41600</v>
      </c>
      <c r="E93" s="7">
        <v>3036</v>
      </c>
      <c r="F93" s="8">
        <v>7944977</v>
      </c>
      <c r="G93" s="9">
        <v>41718</v>
      </c>
      <c r="H93" s="7">
        <v>3036</v>
      </c>
      <c r="I93" s="8">
        <v>30664106</v>
      </c>
    </row>
    <row r="94" spans="1:9" x14ac:dyDescent="0.3">
      <c r="A94" s="3">
        <v>92</v>
      </c>
      <c r="B94" s="4" t="s">
        <v>122</v>
      </c>
      <c r="C94" s="5" t="s">
        <v>21</v>
      </c>
      <c r="D94" s="6">
        <v>41633</v>
      </c>
      <c r="E94" s="7">
        <v>2838</v>
      </c>
      <c r="F94" s="8">
        <v>7021993</v>
      </c>
      <c r="G94" s="9">
        <v>41711</v>
      </c>
      <c r="H94" s="7">
        <v>2856</v>
      </c>
      <c r="I94" s="8">
        <v>29807260</v>
      </c>
    </row>
    <row r="95" spans="1:9" x14ac:dyDescent="0.3">
      <c r="A95" s="3">
        <v>93</v>
      </c>
      <c r="B95" s="4" t="s">
        <v>123</v>
      </c>
      <c r="C95" s="5" t="s">
        <v>60</v>
      </c>
      <c r="D95" s="6">
        <v>41516</v>
      </c>
      <c r="E95" s="7">
        <v>2735</v>
      </c>
      <c r="F95" s="8">
        <v>15815497</v>
      </c>
      <c r="G95" s="9">
        <v>41553</v>
      </c>
      <c r="H95" s="7">
        <v>2735</v>
      </c>
      <c r="I95" s="8">
        <v>28873374</v>
      </c>
    </row>
    <row r="96" spans="1:9" x14ac:dyDescent="0.3">
      <c r="A96" s="3">
        <v>94</v>
      </c>
      <c r="B96" s="4" t="s">
        <v>124</v>
      </c>
      <c r="C96" s="5" t="s">
        <v>19</v>
      </c>
      <c r="D96" s="6">
        <v>41502</v>
      </c>
      <c r="E96" s="7">
        <v>2940</v>
      </c>
      <c r="F96" s="8">
        <v>13332955</v>
      </c>
      <c r="G96" s="9">
        <v>41543</v>
      </c>
      <c r="H96" s="7">
        <v>2945</v>
      </c>
      <c r="I96" s="8">
        <v>28795985</v>
      </c>
    </row>
    <row r="97" spans="1:9" x14ac:dyDescent="0.3">
      <c r="A97" s="3">
        <v>95</v>
      </c>
      <c r="B97" s="4" t="s">
        <v>125</v>
      </c>
      <c r="C97" s="5" t="s">
        <v>126</v>
      </c>
      <c r="D97" s="6">
        <v>41579</v>
      </c>
      <c r="E97" s="7">
        <v>9</v>
      </c>
      <c r="F97" s="8">
        <v>260865</v>
      </c>
      <c r="G97" s="9">
        <v>41760</v>
      </c>
      <c r="H97" s="7">
        <v>1110</v>
      </c>
      <c r="I97" s="8">
        <v>27298285</v>
      </c>
    </row>
    <row r="98" spans="1:9" x14ac:dyDescent="0.3">
      <c r="A98" s="3">
        <v>96</v>
      </c>
      <c r="B98" s="4" t="s">
        <v>127</v>
      </c>
      <c r="C98" s="5" t="s">
        <v>19</v>
      </c>
      <c r="D98" s="6">
        <v>41537</v>
      </c>
      <c r="E98" s="7">
        <v>5</v>
      </c>
      <c r="F98" s="8">
        <v>187289</v>
      </c>
      <c r="G98" s="9">
        <v>41599</v>
      </c>
      <c r="H98" s="7">
        <v>2308</v>
      </c>
      <c r="I98" s="8">
        <v>26947624</v>
      </c>
    </row>
    <row r="99" spans="1:9" x14ac:dyDescent="0.3">
      <c r="A99" s="3">
        <v>97</v>
      </c>
      <c r="B99" s="4" t="s">
        <v>128</v>
      </c>
      <c r="C99" s="5" t="s">
        <v>104</v>
      </c>
      <c r="D99" s="6">
        <v>41362</v>
      </c>
      <c r="E99" s="7">
        <v>3202</v>
      </c>
      <c r="F99" s="8">
        <v>10600112</v>
      </c>
      <c r="G99" s="9">
        <v>41424</v>
      </c>
      <c r="H99" s="7">
        <v>3202</v>
      </c>
      <c r="I99" s="8">
        <v>26627201</v>
      </c>
    </row>
    <row r="100" spans="1:9" x14ac:dyDescent="0.3">
      <c r="A100" s="3">
        <v>98</v>
      </c>
      <c r="B100" s="4" t="s">
        <v>129</v>
      </c>
      <c r="C100" s="5" t="s">
        <v>126</v>
      </c>
      <c r="D100" s="6">
        <v>41509</v>
      </c>
      <c r="E100" s="7">
        <v>1551</v>
      </c>
      <c r="F100" s="8">
        <v>8811790</v>
      </c>
      <c r="G100" s="9">
        <v>41613</v>
      </c>
      <c r="H100" s="7">
        <v>1553</v>
      </c>
      <c r="I100" s="8">
        <v>26004851</v>
      </c>
    </row>
    <row r="101" spans="1:9" x14ac:dyDescent="0.3">
      <c r="A101" s="3">
        <v>99</v>
      </c>
      <c r="B101" s="4" t="s">
        <v>130</v>
      </c>
      <c r="C101" s="5" t="s">
        <v>71</v>
      </c>
      <c r="D101" s="6">
        <v>41334</v>
      </c>
      <c r="E101" s="7">
        <v>2771</v>
      </c>
      <c r="F101" s="8">
        <v>8754168</v>
      </c>
      <c r="G101" s="9">
        <v>41410</v>
      </c>
      <c r="H101" s="7">
        <v>2771</v>
      </c>
      <c r="I101" s="8">
        <v>25682380</v>
      </c>
    </row>
    <row r="102" spans="1:9" x14ac:dyDescent="0.3">
      <c r="A102" s="3">
        <v>100</v>
      </c>
      <c r="B102" s="4" t="s">
        <v>131</v>
      </c>
      <c r="C102" s="5" t="s">
        <v>21</v>
      </c>
      <c r="D102" s="6">
        <v>41626</v>
      </c>
      <c r="E102" s="7">
        <v>6</v>
      </c>
      <c r="F102" s="8">
        <v>260382</v>
      </c>
      <c r="G102" s="9">
        <v>41746</v>
      </c>
      <c r="H102" s="7">
        <v>1729</v>
      </c>
      <c r="I102" s="8">
        <v>25568251</v>
      </c>
    </row>
  </sheetData>
  <mergeCells count="1">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Advanced-Table of Contents</vt:lpstr>
      <vt:lpstr>Customizing Excel</vt:lpstr>
      <vt:lpstr>Apps, Add-Ins, &amp; Templates</vt:lpstr>
      <vt:lpstr>Text Boxes, Shapes, &amp; Pictures</vt:lpstr>
      <vt:lpstr>Alignment &amp; Sizing</vt:lpstr>
      <vt:lpstr>Hyperlinks</vt:lpstr>
      <vt:lpstr>Camera Tool</vt:lpstr>
      <vt:lpstr>GoTo Special</vt:lpstr>
      <vt:lpstr>Goal Seek</vt:lpstr>
      <vt:lpstr>Text to Columns</vt:lpstr>
      <vt:lpstr>Remove Duplicates</vt:lpstr>
      <vt:lpstr>Data Validation</vt:lpstr>
      <vt:lpstr>Subtotals in your dataset</vt:lpstr>
      <vt:lpstr>Using Defined Names wisely</vt:lpstr>
      <vt:lpstr>Sparklines</vt:lpstr>
      <vt:lpstr>Charting</vt:lpstr>
      <vt:lpstr>Sharing Workbooks</vt:lpstr>
      <vt:lpstr>Record &amp; use a Macro</vt:lpstr>
      <vt:lpstr>The Developer Tab</vt:lpstr>
      <vt:lpstr>Interactive Data &amp; Charting</vt:lpstr>
      <vt:lpstr>Intro to VBA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Smith</dc:creator>
  <cp:lastModifiedBy>Eric Smith</cp:lastModifiedBy>
  <cp:lastPrinted>2014-11-19T22:24:59Z</cp:lastPrinted>
  <dcterms:created xsi:type="dcterms:W3CDTF">2014-11-19T21:43:18Z</dcterms:created>
  <dcterms:modified xsi:type="dcterms:W3CDTF">2015-04-28T20:28:01Z</dcterms:modified>
</cp:coreProperties>
</file>